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kolay\Desktop\Stage 2 ENG\aeronautical design\"/>
    </mc:Choice>
  </mc:AlternateContent>
  <xr:revisionPtr revIDLastSave="0" documentId="13_ncr:1_{06D8B230-2723-4694-86CF-EFE5D732F4CD}" xr6:coauthVersionLast="44" xr6:coauthVersionMax="44" xr10:uidLastSave="{00000000-0000-0000-0000-000000000000}"/>
  <bookViews>
    <workbookView xWindow="-108" yWindow="-108" windowWidth="23256" windowHeight="12576" tabRatio="870" firstSheet="1" activeTab="7" xr2:uid="{00000000-000D-0000-FFFF-FFFF00000000}"/>
  </bookViews>
  <sheets>
    <sheet name="Market" sheetId="18" r:id="rId1"/>
    <sheet name="Inputs &amp; Sizing Chart" sheetId="1" r:id="rId2"/>
    <sheet name="Working" sheetId="2" r:id="rId3"/>
    <sheet name="Scissors" sheetId="8" r:id="rId4"/>
    <sheet name="Cabin Planner" sheetId="10" r:id="rId5"/>
    <sheet name="Wing Planform" sheetId="4" r:id="rId6"/>
    <sheet name="Plan View" sheetId="6" r:id="rId7"/>
    <sheet name="Weights 2" sheetId="9" r:id="rId8"/>
    <sheet name="ISA" sheetId="7" r:id="rId9"/>
  </sheets>
  <definedNames>
    <definedName name="_xlnm._FilterDatabase" localSheetId="1" hidden="1">'Inputs &amp; Sizing Chart'!$O$21:$Q$23</definedName>
    <definedName name="_xlnm._FilterDatabase" localSheetId="0" hidden="1">Market!$K$1:$K$75</definedName>
    <definedName name="A_FL">'Inputs &amp; Sizing Chart'!$E$28</definedName>
    <definedName name="Alt1_ft">'Inputs &amp; Sizing Chart'!$B$14</definedName>
    <definedName name="Alt2_ft">'Inputs &amp; Sizing Chart'!$B$19</definedName>
    <definedName name="Alt3_ft">'Inputs &amp; Sizing Chart'!$B$26</definedName>
    <definedName name="AltLand_ft">'Inputs &amp; Sizing Chart'!$E$26</definedName>
    <definedName name="AltTO_ft">'Inputs &amp; Sizing Chart'!$E$15</definedName>
    <definedName name="AR">'Inputs &amp; Sizing Chart'!$B$10</definedName>
    <definedName name="AR_f" localSheetId="6">'Plan View'!$C$3</definedName>
    <definedName name="AR_t" localSheetId="6">'Plan View'!$B$3</definedName>
    <definedName name="B_FL">'Inputs &amp; Sizing Chart'!$E$29</definedName>
    <definedName name="C_FL">'Inputs &amp; Sizing Chart'!$E$18</definedName>
    <definedName name="C_MTOW">'Inputs &amp; Sizing Chart'!$P$2</definedName>
    <definedName name="C_OWE">'Inputs &amp; Sizing Chart'!$P$3</definedName>
    <definedName name="cc_s">'Wing Planform'!$E$10</definedName>
    <definedName name="CD_Land" localSheetId="3">Scissors!$G$14</definedName>
    <definedName name="CD0">'Inputs &amp; Sizing Chart'!$B$8</definedName>
    <definedName name="CD0_Land">Working!#REF!</definedName>
    <definedName name="CD0_TO">Working!$B$30</definedName>
    <definedName name="CLmax_Land">'Inputs &amp; Sizing Chart'!$E$10</definedName>
    <definedName name="CLmax_TO">'Inputs &amp; Sizing Chart'!$E$8</definedName>
    <definedName name="cr_s">'Wing Planform'!$E$5</definedName>
    <definedName name="crf_s" localSheetId="6">'Plan View'!$C$11</definedName>
    <definedName name="crt_s" localSheetId="6">'Plan View'!$B$11</definedName>
    <definedName name="CT_L" localSheetId="3">Scissors!$G$14</definedName>
    <definedName name="D_L_Climb">Working!$B$34</definedName>
    <definedName name="dCD0_Land">'Inputs &amp; Sizing Chart'!$E$11</definedName>
    <definedName name="dcr_s">'Wing Planform'!$E$8</definedName>
    <definedName name="Dfuse">'Cabin Planner'!$B$10</definedName>
    <definedName name="Dfuse2">'Cabin Planner'!$C$10</definedName>
    <definedName name="ESAR">Working!$B$39</definedName>
    <definedName name="eta_c">'Wing Planform'!$B$4</definedName>
    <definedName name="eta_c_2">'Wing Planform'!$E$4</definedName>
    <definedName name="eta_mac">'Wing Planform'!$B$8</definedName>
    <definedName name="eta_mac_f" localSheetId="6">'Plan View'!$C$16</definedName>
    <definedName name="eta_mac_t" localSheetId="6">'Plan View'!$B$16</definedName>
    <definedName name="Filter" localSheetId="0">Market!#REF!</definedName>
    <definedName name="g">ISA!$K$5</definedName>
    <definedName name="hG" localSheetId="3">Scissors!$G$7</definedName>
    <definedName name="Hold_TAS_kt">'Inputs &amp; Sizing Chart'!$B$25</definedName>
    <definedName name="in2m">0.0254</definedName>
    <definedName name="K">Working!$B$6</definedName>
    <definedName name="k_cr">'Inputs &amp; Sizing Chart'!$B$9</definedName>
    <definedName name="lambda_c">'Wing Planform'!$B$5</definedName>
    <definedName name="lamLE">'Wing Planform'!$E$6</definedName>
    <definedName name="lamLE_f" localSheetId="6">'Plan View'!$C$12</definedName>
    <definedName name="lamLE_t" localSheetId="6">'Plan View'!$B$12</definedName>
    <definedName name="lamTE">'Wing Planform'!$E$7</definedName>
    <definedName name="lamTE_f" localSheetId="6">'Plan View'!$C$13</definedName>
    <definedName name="lamTE_t" localSheetId="6">'Plan View'!$B$13</definedName>
    <definedName name="Lapse_rate" localSheetId="8">ISA!$K$7</definedName>
    <definedName name="Lfuse">'Cabin Planner'!$B$39</definedName>
    <definedName name="Lfuse2">'Cabin Planner'!$C$39</definedName>
    <definedName name="LTailCone" localSheetId="4">'Cabin Planner'!$B$20</definedName>
    <definedName name="M_shock">'Wing Planform'!$B$2</definedName>
    <definedName name="M_shock_f" localSheetId="6">'Plan View'!$C$2</definedName>
    <definedName name="M_shock_t" localSheetId="6">'Plan View'!$B$2</definedName>
    <definedName name="m0" localSheetId="8">ISA!$K$4</definedName>
    <definedName name="MAC">Scissors!$G$4</definedName>
    <definedName name="MAC_s">'Wing Planform'!$B$7</definedName>
    <definedName name="MACf_s" localSheetId="6">'Plan View'!$C$15</definedName>
    <definedName name="Mach">'Inputs &amp; Sizing Chart'!$B$13</definedName>
    <definedName name="MACt_s" localSheetId="6">'Plan View'!$B$15</definedName>
    <definedName name="MLW_MTOW">'Inputs &amp; Sizing Chart'!$E$27</definedName>
    <definedName name="Mmo">'Inputs &amp; Sizing Chart'!$B$18</definedName>
    <definedName name="MTOM">'Inputs &amp; Sizing Chart'!$P$7</definedName>
    <definedName name="N_eng">'Inputs &amp; Sizing Chart'!$E$22</definedName>
    <definedName name="n_turn">Working!$B$24</definedName>
    <definedName name="Pax">'Inputs &amp; Sizing Chart'!$B$3</definedName>
    <definedName name="Payload">'Inputs &amp; Sizing Chart'!$P$4</definedName>
    <definedName name="q_1">Working!$B$11</definedName>
    <definedName name="q_2">Working!$B$17</definedName>
    <definedName name="q_3">Working!$B$22</definedName>
    <definedName name="r0" localSheetId="8">ISA!$K$3</definedName>
    <definedName name="Rair" localSheetId="8">ISA!$K$6</definedName>
    <definedName name="Range_nm">'Inputs &amp; Sizing Chart'!$B$2</definedName>
    <definedName name="RRC">'Inputs &amp; Sizing Chart'!$B$23</definedName>
    <definedName name="S_LFL">'Inputs &amp; Sizing Chart'!$B$5</definedName>
    <definedName name="S_TOFL">'Inputs &amp; Sizing Chart'!$B$4</definedName>
    <definedName name="SF_S" localSheetId="6">'Plan View'!$C$5</definedName>
    <definedName name="sfc">'Inputs &amp; Sizing Chart'!$P$5</definedName>
    <definedName name="sig_Land">Working!$B$36</definedName>
    <definedName name="sig_TO">Working!$B$28</definedName>
    <definedName name="Span">'Inputs &amp; Sizing Chart'!$P$17</definedName>
    <definedName name="Sref">'Inputs &amp; Sizing Chart'!$P$16</definedName>
    <definedName name="ST_S" localSheetId="6">'Plan View'!$B$5</definedName>
    <definedName name="T_W">'Inputs &amp; Sizing Chart'!$P$13</definedName>
    <definedName name="T0" localSheetId="8">ISA!$K$2</definedName>
    <definedName name="tanL½">'Wing Planform'!$E$2</definedName>
    <definedName name="tanL½_f" localSheetId="6">'Plan View'!$C$10</definedName>
    <definedName name="tanL½_t" localSheetId="6">'Plan View'!$B$10</definedName>
    <definedName name="taper">'Wing Planform'!$B$3</definedName>
    <definedName name="taper_f" localSheetId="6">'Plan View'!$C$4</definedName>
    <definedName name="taper_t" localSheetId="6">'Plan View'!$B$4</definedName>
    <definedName name="Tclimb_Tsls">Working!$B$32</definedName>
    <definedName name="Tcr1_Tsls">Working!$B$12</definedName>
    <definedName name="Tcr2_Tsls">Working!$B$18</definedName>
    <definedName name="Theta_climb">'Inputs &amp; Sizing Chart'!$E$23</definedName>
    <definedName name="Thold_Tsls">Working!$B$23</definedName>
    <definedName name="Thro_1">'Inputs &amp; Sizing Chart'!$B$15</definedName>
    <definedName name="Thro_2">'Inputs &amp; Sizing Chart'!$B$20</definedName>
    <definedName name="Thro_3">'Inputs &amp; Sizing Chart'!$B$27</definedName>
    <definedName name="Thro_climb">'Inputs &amp; Sizing Chart'!$E$21</definedName>
    <definedName name="Thro_TO">'Inputs &amp; Sizing Chart'!$E$16</definedName>
    <definedName name="TOW_MTOW">'Inputs &amp; Sizing Chart'!$E$17</definedName>
    <definedName name="TRhold">'Inputs &amp; Sizing Chart'!$B$29</definedName>
    <definedName name="Tropopause" localSheetId="8">ISA!$K$8</definedName>
    <definedName name="TSLS">'Inputs &amp; Sizing Chart'!$P$18</definedName>
    <definedName name="Tto_Tsls">Working!$B$29</definedName>
    <definedName name="V2_Vstall">'Inputs &amp; Sizing Chart'!$E$20</definedName>
    <definedName name="W_qS_TO" localSheetId="3">Scissors!$G$13</definedName>
    <definedName name="W_S">'Inputs &amp; Sizing Chart'!$P$12</definedName>
    <definedName name="Wcr1_MTOW">'Inputs &amp; Sizing Chart'!$B$16</definedName>
    <definedName name="Wcr2_MTOW">'Inputs &amp; Sizing Chart'!$B$21</definedName>
    <definedName name="Whold_MTOW">'Inputs &amp; Sizing Chart'!$B$28</definedName>
    <definedName name="Xac_s">'Wing Planform'!$N$3</definedName>
    <definedName name="Xnwb">Scissors!$G$2</definedName>
    <definedName name="Xtail">Scissors!$G$3</definedName>
    <definedName name="Xwing_adjust">'Weights 2'!$J$2</definedName>
    <definedName name="Z_3FE7FC3F_F0F3_4173_9808_B52B3E7F8E83_.wvu.Rows" localSheetId="8" hidden="1">ISA!$60:$61,ISA!$63:$64,ISA!$66:$66,ISA!$68:$69,ISA!$71:$71,ISA!$73:$74,ISA!$76:$76,ISA!$78:$79,ISA!$81:$81,ISA!$83:$84,ISA!$86:$86,ISA!$88:$89,ISA!$91:$91,ISA!$93:$94,ISA!$96:$96,ISA!$98:$99,ISA!$101:$101,ISA!$104:$104,ISA!$106:$106,ISA!$108:$109,ISA!$111:$111,ISA!$113:$114,ISA!$116:$117,ISA!$119:$119,ISA!$121:$122,ISA!$124:$124,ISA!$126:$127,ISA!$129:$129,ISA!$131:$132,ISA!$134:$134,ISA!$136:$137</definedName>
    <definedName name="ZT" localSheetId="3">Scissors!$G$6</definedName>
  </definedNames>
  <calcPr calcId="191029"/>
  <customWorkbookViews>
    <customWorkbookView name="Atkin, Chris - Personal View" guid="{3FE7FC3F-F0F3-4173-9808-B52B3E7F8E83}" mergeInterval="0" personalView="1" maximized="1" xWindow="-8" yWindow="-8" windowWidth="1382" windowHeight="784" tabRatio="87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9" l="1"/>
  <c r="J64" i="9" l="1"/>
  <c r="F10" i="9"/>
  <c r="G2" i="8"/>
  <c r="G63" i="9" s="1"/>
  <c r="G61" i="9"/>
  <c r="G62" i="9"/>
  <c r="G60" i="9"/>
  <c r="G68" i="9"/>
  <c r="F63" i="9"/>
  <c r="F56" i="9"/>
  <c r="G29" i="9"/>
  <c r="F15" i="9"/>
  <c r="F5" i="9"/>
  <c r="E62" i="9"/>
  <c r="E61" i="9"/>
  <c r="E68" i="9"/>
  <c r="F30" i="10"/>
  <c r="F3" i="10"/>
  <c r="R7" i="1"/>
  <c r="E60" i="9"/>
  <c r="B20" i="10" l="1"/>
  <c r="N3" i="2"/>
  <c r="X12" i="1"/>
  <c r="X11" i="1"/>
  <c r="AA10" i="1"/>
  <c r="Z10" i="1"/>
  <c r="G13" i="8"/>
  <c r="C14" i="8"/>
  <c r="D14" i="8"/>
  <c r="B14" i="8"/>
  <c r="C13" i="8"/>
  <c r="D13" i="8"/>
  <c r="B13" i="8"/>
  <c r="G10" i="8" l="1"/>
  <c r="C5" i="4" l="1"/>
  <c r="E4" i="4" l="1"/>
  <c r="E3" i="4"/>
  <c r="E2" i="4"/>
  <c r="E5" i="4" l="1"/>
  <c r="E6" i="4" s="1"/>
  <c r="F6" i="4" s="1"/>
  <c r="E7" i="4"/>
  <c r="F7" i="4" s="1"/>
  <c r="E8" i="4" s="1"/>
  <c r="E10" i="4"/>
  <c r="H5" i="4" s="1"/>
  <c r="N7" i="10"/>
  <c r="H2" i="4" l="1"/>
  <c r="H3" i="4" s="1"/>
  <c r="H6" i="4"/>
  <c r="H4" i="4"/>
  <c r="E9" i="4"/>
  <c r="E7" i="10"/>
  <c r="D7" i="10"/>
  <c r="B28" i="10" l="1"/>
  <c r="E29" i="10" l="1"/>
  <c r="E30" i="10" s="1"/>
  <c r="D29" i="10"/>
  <c r="D30" i="10" s="1"/>
  <c r="B9" i="10"/>
  <c r="E10" i="10"/>
  <c r="B30" i="10" l="1"/>
  <c r="B39" i="2"/>
  <c r="N80" i="18" l="1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O81" i="18"/>
  <c r="O82" i="18"/>
  <c r="O83" i="18"/>
  <c r="O84" i="18"/>
  <c r="O85" i="18"/>
  <c r="O86" i="18"/>
  <c r="O87" i="18"/>
  <c r="O88" i="18"/>
  <c r="O89" i="18"/>
  <c r="O90" i="18"/>
  <c r="O91" i="18"/>
  <c r="O92" i="18"/>
  <c r="O93" i="18"/>
  <c r="O94" i="18"/>
  <c r="O95" i="18"/>
  <c r="O80" i="18"/>
  <c r="P13" i="1" l="1"/>
  <c r="AB13" i="1"/>
  <c r="R8" i="1" l="1"/>
  <c r="P4" i="1" s="1"/>
  <c r="T8" i="1" s="1"/>
  <c r="B30" i="2" l="1"/>
  <c r="E11" i="1" l="1"/>
  <c r="Q4" i="2"/>
  <c r="Q5" i="2"/>
  <c r="Q6" i="2"/>
  <c r="Q7" i="2"/>
  <c r="Q8" i="2"/>
  <c r="Q9" i="2"/>
  <c r="Q10" i="2"/>
  <c r="Q11" i="2"/>
  <c r="Q12" i="2"/>
  <c r="Q13" i="2"/>
  <c r="Q14" i="2"/>
  <c r="Q15" i="2"/>
  <c r="Q3" i="2"/>
  <c r="B33" i="2"/>
  <c r="B21" i="2" l="1"/>
  <c r="B24" i="2" s="1"/>
  <c r="E27" i="1" l="1"/>
  <c r="B18" i="1"/>
  <c r="B28" i="1" l="1"/>
  <c r="G11" i="8"/>
  <c r="B6" i="2"/>
  <c r="G14" i="8" s="1"/>
  <c r="B5" i="1"/>
  <c r="B34" i="2" l="1"/>
  <c r="N9" i="2" l="1"/>
  <c r="N13" i="2"/>
  <c r="N4" i="2"/>
  <c r="N6" i="2"/>
  <c r="N10" i="2"/>
  <c r="N14" i="2"/>
  <c r="N7" i="2"/>
  <c r="N11" i="2"/>
  <c r="N15" i="2"/>
  <c r="N8" i="2"/>
  <c r="N12" i="2"/>
  <c r="N5" i="2"/>
  <c r="I36" i="18" l="1"/>
  <c r="I15" i="18"/>
  <c r="I16" i="18"/>
  <c r="I27" i="18"/>
  <c r="I30" i="18"/>
  <c r="I31" i="18"/>
  <c r="I25" i="18"/>
  <c r="I61" i="18"/>
  <c r="I29" i="18"/>
  <c r="I62" i="18"/>
  <c r="I68" i="18"/>
  <c r="I11" i="18"/>
  <c r="I2" i="18"/>
  <c r="I5" i="18"/>
  <c r="I4" i="18"/>
  <c r="I3" i="18"/>
  <c r="I7" i="18"/>
  <c r="I8" i="18"/>
  <c r="I13" i="18"/>
  <c r="I19" i="18"/>
  <c r="I24" i="18"/>
  <c r="I12" i="18"/>
  <c r="I6" i="18"/>
  <c r="I9" i="18"/>
  <c r="I14" i="18"/>
  <c r="I10" i="18"/>
  <c r="I17" i="18"/>
  <c r="I21" i="18"/>
  <c r="I43" i="18"/>
  <c r="I38" i="18"/>
  <c r="I44" i="18"/>
  <c r="I49" i="18"/>
  <c r="I50" i="18"/>
  <c r="I32" i="18"/>
  <c r="I70" i="18"/>
  <c r="I22" i="18"/>
  <c r="I57" i="18"/>
  <c r="I35" i="18"/>
  <c r="I58" i="18"/>
  <c r="I39" i="18"/>
  <c r="I67" i="18"/>
  <c r="I47" i="18"/>
  <c r="I28" i="18"/>
  <c r="I23" i="18"/>
  <c r="I18" i="18"/>
  <c r="I56" i="18"/>
  <c r="I69" i="18"/>
  <c r="I65" i="18"/>
  <c r="I60" i="18"/>
  <c r="I40" i="18"/>
  <c r="I46" i="18"/>
  <c r="I71" i="18"/>
  <c r="I54" i="18"/>
  <c r="I42" i="18"/>
  <c r="I64" i="18"/>
  <c r="I45" i="18"/>
  <c r="I33" i="18"/>
  <c r="I51" i="18"/>
  <c r="I37" i="18"/>
  <c r="I53" i="18"/>
  <c r="I52" i="18"/>
  <c r="I26" i="18"/>
  <c r="I48" i="18"/>
  <c r="I63" i="18"/>
  <c r="I55" i="18"/>
  <c r="I20" i="18"/>
  <c r="I72" i="18"/>
  <c r="I59" i="18"/>
  <c r="I34" i="18"/>
  <c r="I41" i="18"/>
  <c r="I66" i="18"/>
  <c r="J14" i="6" l="1"/>
  <c r="G16" i="6"/>
  <c r="J4" i="6"/>
  <c r="G42" i="9" l="1"/>
  <c r="B4" i="7" l="1"/>
  <c r="B6" i="7"/>
  <c r="B8" i="7"/>
  <c r="B11" i="7"/>
  <c r="A2" i="7"/>
  <c r="C2" i="7" s="1"/>
  <c r="A3" i="7"/>
  <c r="C3" i="7" s="1"/>
  <c r="C4" i="7"/>
  <c r="G4" i="7" s="1"/>
  <c r="A5" i="7"/>
  <c r="C5" i="7" s="1"/>
  <c r="C6" i="7"/>
  <c r="E6" i="7" s="1"/>
  <c r="D6" i="7" s="1"/>
  <c r="A7" i="7"/>
  <c r="C7" i="7" s="1"/>
  <c r="C8" i="7"/>
  <c r="F8" i="7" s="1"/>
  <c r="A9" i="7"/>
  <c r="C9" i="7" s="1"/>
  <c r="A10" i="7"/>
  <c r="C10" i="7" s="1"/>
  <c r="G10" i="7" s="1"/>
  <c r="C11" i="7"/>
  <c r="E11" i="7" s="1"/>
  <c r="D11" i="7" s="1"/>
  <c r="A12" i="7"/>
  <c r="C12" i="7" s="1"/>
  <c r="F12" i="7" s="1"/>
  <c r="B13" i="7"/>
  <c r="C13" i="7"/>
  <c r="G13" i="7" s="1"/>
  <c r="A14" i="7"/>
  <c r="C14" i="7" s="1"/>
  <c r="B15" i="7"/>
  <c r="C15" i="7"/>
  <c r="F15" i="7" s="1"/>
  <c r="A16" i="7"/>
  <c r="C16" i="7" s="1"/>
  <c r="A17" i="7"/>
  <c r="C17" i="7" s="1"/>
  <c r="G17" i="7" s="1"/>
  <c r="B18" i="7"/>
  <c r="C18" i="7"/>
  <c r="F18" i="7" s="1"/>
  <c r="A19" i="7"/>
  <c r="C19" i="7" s="1"/>
  <c r="B20" i="7"/>
  <c r="C20" i="7"/>
  <c r="E20" i="7" s="1"/>
  <c r="D20" i="7" s="1"/>
  <c r="A21" i="7"/>
  <c r="C21" i="7" s="1"/>
  <c r="G21" i="7" s="1"/>
  <c r="B22" i="7"/>
  <c r="C22" i="7"/>
  <c r="A23" i="7"/>
  <c r="C23" i="7" s="1"/>
  <c r="A24" i="7"/>
  <c r="C24" i="7" s="1"/>
  <c r="F24" i="7" s="1"/>
  <c r="B25" i="7"/>
  <c r="C25" i="7"/>
  <c r="G25" i="7" s="1"/>
  <c r="A26" i="7"/>
  <c r="C26" i="7" s="1"/>
  <c r="B27" i="7"/>
  <c r="C27" i="7"/>
  <c r="E27" i="7" s="1"/>
  <c r="D27" i="7" s="1"/>
  <c r="A28" i="7"/>
  <c r="C28" i="7" s="1"/>
  <c r="F28" i="7" s="1"/>
  <c r="B29" i="7"/>
  <c r="C29" i="7"/>
  <c r="G29" i="7" s="1"/>
  <c r="A30" i="7"/>
  <c r="C30" i="7" s="1"/>
  <c r="A31" i="7"/>
  <c r="C31" i="7" s="1"/>
  <c r="B32" i="7"/>
  <c r="C32" i="7"/>
  <c r="E32" i="7" s="1"/>
  <c r="D32" i="7" s="1"/>
  <c r="A33" i="7"/>
  <c r="C33" i="7" s="1"/>
  <c r="B34" i="7"/>
  <c r="C34" i="7"/>
  <c r="A35" i="7"/>
  <c r="C35" i="7" s="1"/>
  <c r="B36" i="7"/>
  <c r="C36" i="7"/>
  <c r="A37" i="7"/>
  <c r="C37" i="7" s="1"/>
  <c r="B38" i="7"/>
  <c r="C38" i="7"/>
  <c r="F38" i="7" s="1"/>
  <c r="A39" i="7"/>
  <c r="C39" i="7" s="1"/>
  <c r="E39" i="7" s="1"/>
  <c r="D39" i="7" s="1"/>
  <c r="B40" i="7"/>
  <c r="C40" i="7"/>
  <c r="B41" i="7"/>
  <c r="C41" i="7"/>
  <c r="A42" i="7"/>
  <c r="C42" i="7" s="1"/>
  <c r="B43" i="7"/>
  <c r="C43" i="7"/>
  <c r="E43" i="7" s="1"/>
  <c r="D43" i="7" s="1"/>
  <c r="A44" i="7"/>
  <c r="C44" i="7" s="1"/>
  <c r="B45" i="7"/>
  <c r="C45" i="7"/>
  <c r="E45" i="7" s="1"/>
  <c r="D45" i="7" s="1"/>
  <c r="B46" i="7"/>
  <c r="C46" i="7"/>
  <c r="A47" i="7"/>
  <c r="C47" i="7" s="1"/>
  <c r="B48" i="7"/>
  <c r="C48" i="7"/>
  <c r="A49" i="7"/>
  <c r="C49" i="7" s="1"/>
  <c r="B50" i="7"/>
  <c r="C50" i="7"/>
  <c r="B51" i="7"/>
  <c r="C51" i="7"/>
  <c r="F51" i="7" s="1"/>
  <c r="A52" i="7"/>
  <c r="C52" i="7" s="1"/>
  <c r="B53" i="7"/>
  <c r="C53" i="7"/>
  <c r="F53" i="7" s="1"/>
  <c r="A54" i="7"/>
  <c r="C54" i="7" s="1"/>
  <c r="B55" i="7"/>
  <c r="C55" i="7"/>
  <c r="F55" i="7" s="1"/>
  <c r="B56" i="7"/>
  <c r="C56" i="7"/>
  <c r="E56" i="7" s="1"/>
  <c r="D56" i="7" s="1"/>
  <c r="A57" i="7"/>
  <c r="C57" i="7" s="1"/>
  <c r="B58" i="7"/>
  <c r="C58" i="7"/>
  <c r="E58" i="7" s="1"/>
  <c r="D58" i="7" s="1"/>
  <c r="A59" i="7"/>
  <c r="C59" i="7" s="1"/>
  <c r="G59" i="7" s="1"/>
  <c r="B60" i="7"/>
  <c r="C60" i="7"/>
  <c r="B61" i="7"/>
  <c r="C61" i="7"/>
  <c r="G61" i="7" s="1"/>
  <c r="A62" i="7"/>
  <c r="C62" i="7" s="1"/>
  <c r="F62" i="7" s="1"/>
  <c r="B63" i="7"/>
  <c r="C63" i="7"/>
  <c r="B64" i="7"/>
  <c r="C64" i="7"/>
  <c r="F64" i="7" s="1"/>
  <c r="A65" i="7"/>
  <c r="C65" i="7" s="1"/>
  <c r="B66" i="7"/>
  <c r="C66" i="7"/>
  <c r="F66" i="7" s="1"/>
  <c r="A67" i="7"/>
  <c r="C67" i="7" s="1"/>
  <c r="G67" i="7" s="1"/>
  <c r="B68" i="7"/>
  <c r="C68" i="7"/>
  <c r="F68" i="7" s="1"/>
  <c r="B69" i="7"/>
  <c r="C69" i="7"/>
  <c r="F69" i="7" s="1"/>
  <c r="A70" i="7"/>
  <c r="C70" i="7" s="1"/>
  <c r="B71" i="7"/>
  <c r="C71" i="7"/>
  <c r="E71" i="7" s="1"/>
  <c r="D71" i="7" s="1"/>
  <c r="A72" i="7"/>
  <c r="C72" i="7" s="1"/>
  <c r="F72" i="7" s="1"/>
  <c r="B73" i="7"/>
  <c r="C73" i="7"/>
  <c r="F73" i="7" s="1"/>
  <c r="B74" i="7"/>
  <c r="C74" i="7"/>
  <c r="E74" i="7" s="1"/>
  <c r="D74" i="7" s="1"/>
  <c r="A75" i="7"/>
  <c r="C75" i="7" s="1"/>
  <c r="B76" i="7"/>
  <c r="C76" i="7"/>
  <c r="F76" i="7" s="1"/>
  <c r="A77" i="7"/>
  <c r="C77" i="7" s="1"/>
  <c r="E77" i="7" s="1"/>
  <c r="D77" i="7" s="1"/>
  <c r="B78" i="7"/>
  <c r="C78" i="7"/>
  <c r="B79" i="7"/>
  <c r="C79" i="7"/>
  <c r="A80" i="7"/>
  <c r="C80" i="7"/>
  <c r="F80" i="7" s="1"/>
  <c r="B81" i="7"/>
  <c r="C81" i="7"/>
  <c r="E81" i="7" s="1"/>
  <c r="D81" i="7" s="1"/>
  <c r="A82" i="7"/>
  <c r="C82" i="7" s="1"/>
  <c r="F82" i="7" s="1"/>
  <c r="B83" i="7"/>
  <c r="C83" i="7"/>
  <c r="E83" i="7" s="1"/>
  <c r="D83" i="7" s="1"/>
  <c r="B84" i="7"/>
  <c r="C84" i="7"/>
  <c r="F84" i="7" s="1"/>
  <c r="A85" i="7"/>
  <c r="C85" i="7" s="1"/>
  <c r="E85" i="7" s="1"/>
  <c r="D85" i="7" s="1"/>
  <c r="B86" i="7"/>
  <c r="C86" i="7"/>
  <c r="E86" i="7" s="1"/>
  <c r="D86" i="7" s="1"/>
  <c r="F86" i="7"/>
  <c r="A87" i="7"/>
  <c r="C87" i="7" s="1"/>
  <c r="E87" i="7" s="1"/>
  <c r="D87" i="7" s="1"/>
  <c r="B88" i="7"/>
  <c r="C88" i="7"/>
  <c r="G88" i="7" s="1"/>
  <c r="B89" i="7"/>
  <c r="C89" i="7"/>
  <c r="E89" i="7" s="1"/>
  <c r="D89" i="7" s="1"/>
  <c r="A90" i="7"/>
  <c r="C90" i="7" s="1"/>
  <c r="E90" i="7" s="1"/>
  <c r="D90" i="7" s="1"/>
  <c r="B91" i="7"/>
  <c r="C91" i="7"/>
  <c r="E91" i="7" s="1"/>
  <c r="D91" i="7" s="1"/>
  <c r="A92" i="7"/>
  <c r="C92" i="7" s="1"/>
  <c r="B93" i="7"/>
  <c r="C93" i="7"/>
  <c r="E93" i="7" s="1"/>
  <c r="D93" i="7" s="1"/>
  <c r="F93" i="7"/>
  <c r="B94" i="7"/>
  <c r="C94" i="7"/>
  <c r="E94" i="7" s="1"/>
  <c r="D94" i="7" s="1"/>
  <c r="A95" i="7"/>
  <c r="C95" i="7" s="1"/>
  <c r="E95" i="7" s="1"/>
  <c r="D95" i="7" s="1"/>
  <c r="B96" i="7"/>
  <c r="C96" i="7"/>
  <c r="G96" i="7" s="1"/>
  <c r="A97" i="7"/>
  <c r="C97" i="7" s="1"/>
  <c r="B98" i="7"/>
  <c r="C98" i="7"/>
  <c r="B99" i="7"/>
  <c r="C99" i="7"/>
  <c r="E99" i="7" s="1"/>
  <c r="D99" i="7" s="1"/>
  <c r="A100" i="7"/>
  <c r="C100" i="7" s="1"/>
  <c r="F100" i="7" s="1"/>
  <c r="B101" i="7"/>
  <c r="C101" i="7"/>
  <c r="F101" i="7" s="1"/>
  <c r="A102" i="7"/>
  <c r="C102" i="7" s="1"/>
  <c r="B103" i="7"/>
  <c r="C103" i="7"/>
  <c r="F103" i="7" s="1"/>
  <c r="B104" i="7"/>
  <c r="C104" i="7"/>
  <c r="F104" i="7" s="1"/>
  <c r="A105" i="7"/>
  <c r="C105" i="7" s="1"/>
  <c r="B106" i="7"/>
  <c r="C106" i="7"/>
  <c r="F106" i="7" s="1"/>
  <c r="A107" i="7"/>
  <c r="C107" i="7" s="1"/>
  <c r="B108" i="7"/>
  <c r="C108" i="7"/>
  <c r="F108" i="7" s="1"/>
  <c r="B109" i="7"/>
  <c r="C109" i="7"/>
  <c r="F109" i="7" s="1"/>
  <c r="A110" i="7"/>
  <c r="C110" i="7" s="1"/>
  <c r="B111" i="7"/>
  <c r="C111" i="7"/>
  <c r="A112" i="7"/>
  <c r="C112" i="7" s="1"/>
  <c r="B113" i="7"/>
  <c r="C113" i="7"/>
  <c r="B114" i="7"/>
  <c r="C114" i="7"/>
  <c r="G114" i="7" s="1"/>
  <c r="A115" i="7"/>
  <c r="C115" i="7" s="1"/>
  <c r="B116" i="7"/>
  <c r="C116" i="7"/>
  <c r="B117" i="7"/>
  <c r="C117" i="7"/>
  <c r="A118" i="7"/>
  <c r="C118" i="7" s="1"/>
  <c r="B119" i="7"/>
  <c r="C119" i="7"/>
  <c r="G119" i="7" s="1"/>
  <c r="F119" i="7"/>
  <c r="A120" i="7"/>
  <c r="C120" i="7" s="1"/>
  <c r="F120" i="7" s="1"/>
  <c r="G120" i="7"/>
  <c r="B121" i="7"/>
  <c r="C121" i="7"/>
  <c r="F121" i="7" s="1"/>
  <c r="B122" i="7"/>
  <c r="C122" i="7"/>
  <c r="F122" i="7" s="1"/>
  <c r="A123" i="7"/>
  <c r="C123" i="7" s="1"/>
  <c r="B124" i="7"/>
  <c r="C124" i="7"/>
  <c r="F124" i="7" s="1"/>
  <c r="A125" i="7"/>
  <c r="C125" i="7" s="1"/>
  <c r="F125" i="7" s="1"/>
  <c r="B126" i="7"/>
  <c r="C126" i="7"/>
  <c r="G126" i="7" s="1"/>
  <c r="B127" i="7"/>
  <c r="C127" i="7"/>
  <c r="F127" i="7" s="1"/>
  <c r="A128" i="7"/>
  <c r="C128" i="7" s="1"/>
  <c r="B129" i="7"/>
  <c r="C129" i="7"/>
  <c r="A130" i="7"/>
  <c r="C130" i="7" s="1"/>
  <c r="B131" i="7"/>
  <c r="C131" i="7"/>
  <c r="G131" i="7" s="1"/>
  <c r="B132" i="7"/>
  <c r="C132" i="7"/>
  <c r="F132" i="7" s="1"/>
  <c r="A133" i="7"/>
  <c r="C133" i="7" s="1"/>
  <c r="F133" i="7" s="1"/>
  <c r="B134" i="7"/>
  <c r="C134" i="7"/>
  <c r="F134" i="7" s="1"/>
  <c r="A135" i="7"/>
  <c r="C135" i="7" s="1"/>
  <c r="B136" i="7"/>
  <c r="C136" i="7"/>
  <c r="F136" i="7" s="1"/>
  <c r="B137" i="7"/>
  <c r="C137" i="7"/>
  <c r="F137" i="7" s="1"/>
  <c r="A138" i="7"/>
  <c r="C138" i="7" s="1"/>
  <c r="B139" i="7"/>
  <c r="C139" i="7"/>
  <c r="F139" i="7" s="1"/>
  <c r="A140" i="7"/>
  <c r="C140" i="7" s="1"/>
  <c r="G140" i="7" s="1"/>
  <c r="B141" i="7"/>
  <c r="C141" i="7"/>
  <c r="B142" i="7"/>
  <c r="C142" i="7"/>
  <c r="F142" i="7" s="1"/>
  <c r="A143" i="7"/>
  <c r="C143" i="7" s="1"/>
  <c r="B144" i="7"/>
  <c r="C144" i="7"/>
  <c r="G144" i="7" s="1"/>
  <c r="A145" i="7"/>
  <c r="C145" i="7" s="1"/>
  <c r="B146" i="7"/>
  <c r="C146" i="7"/>
  <c r="F146" i="7" s="1"/>
  <c r="B147" i="7"/>
  <c r="C147" i="7"/>
  <c r="G147" i="7" s="1"/>
  <c r="A148" i="7"/>
  <c r="C148" i="7" s="1"/>
  <c r="F148" i="7" s="1"/>
  <c r="B149" i="7"/>
  <c r="C149" i="7"/>
  <c r="A150" i="7"/>
  <c r="C150" i="7" s="1"/>
  <c r="B151" i="7"/>
  <c r="C151" i="7"/>
  <c r="F151" i="7" s="1"/>
  <c r="B152" i="7"/>
  <c r="C152" i="7"/>
  <c r="F152" i="7" s="1"/>
  <c r="A153" i="7"/>
  <c r="C153" i="7" s="1"/>
  <c r="F153" i="7" s="1"/>
  <c r="B154" i="7"/>
  <c r="C154" i="7"/>
  <c r="F154" i="7" s="1"/>
  <c r="A155" i="7"/>
  <c r="C155" i="7" s="1"/>
  <c r="B156" i="7"/>
  <c r="C156" i="7"/>
  <c r="F156" i="7" s="1"/>
  <c r="B157" i="7"/>
  <c r="C157" i="7"/>
  <c r="A158" i="7"/>
  <c r="C158" i="7" s="1"/>
  <c r="B159" i="7"/>
  <c r="C159" i="7"/>
  <c r="F159" i="7" s="1"/>
  <c r="A160" i="7"/>
  <c r="C160" i="7" s="1"/>
  <c r="F160" i="7" s="1"/>
  <c r="B161" i="7"/>
  <c r="C161" i="7"/>
  <c r="B162" i="7"/>
  <c r="C162" i="7"/>
  <c r="F162" i="7" s="1"/>
  <c r="A163" i="7"/>
  <c r="C163" i="7" s="1"/>
  <c r="J8" i="10"/>
  <c r="B64" i="9"/>
  <c r="K1" i="2"/>
  <c r="C11" i="6"/>
  <c r="C15" i="6" s="1"/>
  <c r="C16" i="6" s="1"/>
  <c r="B11" i="6"/>
  <c r="B15" i="6" s="1"/>
  <c r="B16" i="6" s="1"/>
  <c r="J7" i="6"/>
  <c r="J15" i="6"/>
  <c r="J18" i="6"/>
  <c r="J10" i="6"/>
  <c r="I18" i="6"/>
  <c r="K4" i="4"/>
  <c r="K5" i="4" s="1"/>
  <c r="K6" i="4" s="1"/>
  <c r="G17" i="6" s="1"/>
  <c r="G23" i="6" s="1"/>
  <c r="J9" i="4"/>
  <c r="K9" i="4"/>
  <c r="G20" i="6" s="1"/>
  <c r="I10" i="6"/>
  <c r="F126" i="7" l="1"/>
  <c r="E103" i="7"/>
  <c r="E113" i="7" s="1"/>
  <c r="E101" i="7"/>
  <c r="D101" i="7" s="1"/>
  <c r="G68" i="7"/>
  <c r="F89" i="7"/>
  <c r="F83" i="7"/>
  <c r="G74" i="7"/>
  <c r="F56" i="7"/>
  <c r="F27" i="7"/>
  <c r="B15" i="2"/>
  <c r="B16" i="2" s="1"/>
  <c r="B8" i="2"/>
  <c r="B12" i="2" s="1"/>
  <c r="F5" i="7"/>
  <c r="E5" i="7"/>
  <c r="D5" i="7" s="1"/>
  <c r="G153" i="7"/>
  <c r="F74" i="7"/>
  <c r="E68" i="7"/>
  <c r="D68" i="7" s="1"/>
  <c r="D113" i="7"/>
  <c r="F147" i="7"/>
  <c r="F131" i="7"/>
  <c r="G122" i="7"/>
  <c r="G109" i="7"/>
  <c r="E51" i="7"/>
  <c r="D51" i="7" s="1"/>
  <c r="F20" i="7"/>
  <c r="E133" i="7"/>
  <c r="D133" i="7" s="1"/>
  <c r="E134" i="7"/>
  <c r="D134" i="7" s="1"/>
  <c r="G125" i="7"/>
  <c r="G121" i="7"/>
  <c r="G101" i="7"/>
  <c r="H101" i="7" s="1"/>
  <c r="G93" i="7"/>
  <c r="G89" i="7"/>
  <c r="G86" i="7"/>
  <c r="H86" i="7" s="1"/>
  <c r="E64" i="7"/>
  <c r="D64" i="7" s="1"/>
  <c r="G58" i="7"/>
  <c r="G56" i="7"/>
  <c r="H56" i="7" s="1"/>
  <c r="E55" i="7"/>
  <c r="D55" i="7" s="1"/>
  <c r="G15" i="7"/>
  <c r="G8" i="7"/>
  <c r="G6" i="7"/>
  <c r="H6" i="7" s="1"/>
  <c r="G154" i="7"/>
  <c r="G32" i="7"/>
  <c r="H32" i="7" s="1"/>
  <c r="E15" i="7"/>
  <c r="D15" i="7" s="1"/>
  <c r="G11" i="7"/>
  <c r="H11" i="7" s="1"/>
  <c r="E8" i="7"/>
  <c r="D8" i="7" s="1"/>
  <c r="F6" i="7"/>
  <c r="E146" i="7"/>
  <c r="D146" i="7" s="1"/>
  <c r="G137" i="7"/>
  <c r="F114" i="7"/>
  <c r="G108" i="7"/>
  <c r="E84" i="7"/>
  <c r="D84" i="7" s="1"/>
  <c r="G76" i="7"/>
  <c r="H68" i="7"/>
  <c r="G38" i="7"/>
  <c r="F32" i="7"/>
  <c r="F11" i="7"/>
  <c r="E137" i="7"/>
  <c r="D137" i="7" s="1"/>
  <c r="E117" i="7"/>
  <c r="D117" i="7" s="1"/>
  <c r="G81" i="7"/>
  <c r="H81" i="7" s="1"/>
  <c r="K7" i="4"/>
  <c r="G159" i="7"/>
  <c r="E158" i="7"/>
  <c r="D158" i="7" s="1"/>
  <c r="G151" i="7"/>
  <c r="E150" i="7"/>
  <c r="D150" i="7" s="1"/>
  <c r="E138" i="7"/>
  <c r="D138" i="7" s="1"/>
  <c r="E126" i="7"/>
  <c r="G103" i="7"/>
  <c r="H103" i="7" s="1"/>
  <c r="F81" i="7"/>
  <c r="G73" i="7"/>
  <c r="G43" i="7"/>
  <c r="H43" i="7" s="1"/>
  <c r="E152" i="7"/>
  <c r="D152" i="7" s="1"/>
  <c r="G146" i="7"/>
  <c r="H146" i="7" s="1"/>
  <c r="E145" i="7"/>
  <c r="D145" i="7" s="1"/>
  <c r="E141" i="7"/>
  <c r="D141" i="7" s="1"/>
  <c r="G139" i="7"/>
  <c r="G134" i="7"/>
  <c r="H134" i="7" s="1"/>
  <c r="G133" i="7"/>
  <c r="H133" i="7" s="1"/>
  <c r="G127" i="7"/>
  <c r="G124" i="7"/>
  <c r="E122" i="7"/>
  <c r="D122" i="7" s="1"/>
  <c r="E118" i="7"/>
  <c r="D118" i="7" s="1"/>
  <c r="G84" i="7"/>
  <c r="H84" i="7" s="1"/>
  <c r="G83" i="7"/>
  <c r="H83" i="7" s="1"/>
  <c r="E73" i="7"/>
  <c r="D73" i="7" s="1"/>
  <c r="G64" i="7"/>
  <c r="F43" i="7"/>
  <c r="G27" i="7"/>
  <c r="H27" i="7" s="1"/>
  <c r="G20" i="7"/>
  <c r="H20" i="7" s="1"/>
  <c r="G5" i="7"/>
  <c r="H5" i="7" s="1"/>
  <c r="F112" i="7"/>
  <c r="G112" i="7"/>
  <c r="F92" i="7"/>
  <c r="E92" i="7"/>
  <c r="D92" i="7" s="1"/>
  <c r="G92" i="7"/>
  <c r="F145" i="7"/>
  <c r="G145" i="7"/>
  <c r="F128" i="7"/>
  <c r="G128" i="7"/>
  <c r="F116" i="7"/>
  <c r="G116" i="7"/>
  <c r="F113" i="7"/>
  <c r="G113" i="7"/>
  <c r="H113" i="7" s="1"/>
  <c r="F111" i="7"/>
  <c r="G111" i="7"/>
  <c r="F99" i="7"/>
  <c r="G99" i="7"/>
  <c r="H99" i="7" s="1"/>
  <c r="E78" i="7"/>
  <c r="D78" i="7" s="1"/>
  <c r="F78" i="7"/>
  <c r="G78" i="7"/>
  <c r="E61" i="7"/>
  <c r="D61" i="7" s="1"/>
  <c r="F61" i="7"/>
  <c r="F57" i="7"/>
  <c r="E57" i="7"/>
  <c r="D57" i="7" s="1"/>
  <c r="F54" i="7"/>
  <c r="G54" i="7"/>
  <c r="F50" i="7"/>
  <c r="G50" i="7"/>
  <c r="F161" i="7"/>
  <c r="G161" i="7"/>
  <c r="G142" i="7"/>
  <c r="G105" i="7"/>
  <c r="F105" i="7"/>
  <c r="B9" i="2" s="1"/>
  <c r="B10" i="2" s="1"/>
  <c r="G97" i="7"/>
  <c r="E97" i="7"/>
  <c r="D97" i="7" s="1"/>
  <c r="H93" i="7"/>
  <c r="H89" i="7"/>
  <c r="E79" i="7"/>
  <c r="D79" i="7" s="1"/>
  <c r="F79" i="7"/>
  <c r="G69" i="7"/>
  <c r="E66" i="7"/>
  <c r="D66" i="7" s="1"/>
  <c r="G66" i="7"/>
  <c r="F26" i="7"/>
  <c r="E26" i="7"/>
  <c r="D26" i="7" s="1"/>
  <c r="G26" i="7"/>
  <c r="F2" i="7"/>
  <c r="E2" i="7"/>
  <c r="G2" i="7"/>
  <c r="F149" i="7"/>
  <c r="G149" i="7"/>
  <c r="E98" i="7"/>
  <c r="D98" i="7" s="1"/>
  <c r="G98" i="7"/>
  <c r="G162" i="7"/>
  <c r="F157" i="7"/>
  <c r="G157" i="7"/>
  <c r="F141" i="7"/>
  <c r="G141" i="7"/>
  <c r="G136" i="7"/>
  <c r="G132" i="7"/>
  <c r="F129" i="7"/>
  <c r="G129" i="7"/>
  <c r="F117" i="7"/>
  <c r="G117" i="7"/>
  <c r="E114" i="7"/>
  <c r="D114" i="7" s="1"/>
  <c r="E129" i="7"/>
  <c r="D129" i="7" s="1"/>
  <c r="E130" i="7"/>
  <c r="D130" i="7" s="1"/>
  <c r="E142" i="7"/>
  <c r="D142" i="7" s="1"/>
  <c r="E144" i="7"/>
  <c r="D144" i="7" s="1"/>
  <c r="E149" i="7"/>
  <c r="D149" i="7" s="1"/>
  <c r="E157" i="7"/>
  <c r="D157" i="7" s="1"/>
  <c r="E161" i="7"/>
  <c r="D161" i="7" s="1"/>
  <c r="E162" i="7"/>
  <c r="D162" i="7" s="1"/>
  <c r="E109" i="7"/>
  <c r="E110" i="7"/>
  <c r="D110" i="7" s="1"/>
  <c r="E121" i="7"/>
  <c r="E125" i="7"/>
  <c r="E153" i="7"/>
  <c r="D153" i="7" s="1"/>
  <c r="E154" i="7"/>
  <c r="D154" i="7" s="1"/>
  <c r="E156" i="7"/>
  <c r="D156" i="7" s="1"/>
  <c r="F98" i="7"/>
  <c r="F88" i="7"/>
  <c r="E88" i="7"/>
  <c r="D88" i="7" s="1"/>
  <c r="E80" i="7"/>
  <c r="D80" i="7" s="1"/>
  <c r="E69" i="7"/>
  <c r="D69" i="7" s="1"/>
  <c r="F60" i="7"/>
  <c r="E60" i="7"/>
  <c r="D60" i="7" s="1"/>
  <c r="G60" i="7"/>
  <c r="F49" i="7"/>
  <c r="E49" i="7"/>
  <c r="D49" i="7" s="1"/>
  <c r="F46" i="7"/>
  <c r="E46" i="7"/>
  <c r="D46" i="7" s="1"/>
  <c r="E36" i="7"/>
  <c r="D36" i="7" s="1"/>
  <c r="F36" i="7"/>
  <c r="G36" i="7"/>
  <c r="F22" i="7"/>
  <c r="E22" i="7"/>
  <c r="D22" i="7" s="1"/>
  <c r="G22" i="7"/>
  <c r="F14" i="7"/>
  <c r="E14" i="7"/>
  <c r="D14" i="7" s="1"/>
  <c r="G14" i="7"/>
  <c r="F96" i="7"/>
  <c r="E96" i="7"/>
  <c r="D96" i="7" s="1"/>
  <c r="E48" i="7"/>
  <c r="D48" i="7" s="1"/>
  <c r="F48" i="7"/>
  <c r="G48" i="7"/>
  <c r="E40" i="7"/>
  <c r="D40" i="7" s="1"/>
  <c r="F40" i="7"/>
  <c r="G40" i="7"/>
  <c r="H40" i="7" s="1"/>
  <c r="F30" i="7"/>
  <c r="E30" i="7"/>
  <c r="D30" i="7" s="1"/>
  <c r="G30" i="7"/>
  <c r="G18" i="7"/>
  <c r="H18" i="7" s="1"/>
  <c r="F58" i="7"/>
  <c r="G55" i="7"/>
  <c r="E53" i="7"/>
  <c r="D53" i="7" s="1"/>
  <c r="G51" i="7"/>
  <c r="H51" i="7" s="1"/>
  <c r="F45" i="7"/>
  <c r="E38" i="7"/>
  <c r="D38" i="7" s="1"/>
  <c r="E18" i="7"/>
  <c r="D18" i="7" s="1"/>
  <c r="E160" i="7"/>
  <c r="D160" i="7" s="1"/>
  <c r="E148" i="7"/>
  <c r="D148" i="7" s="1"/>
  <c r="G123" i="7"/>
  <c r="F123" i="7"/>
  <c r="E102" i="7"/>
  <c r="D102" i="7" s="1"/>
  <c r="F102" i="7"/>
  <c r="G102" i="7"/>
  <c r="F158" i="7"/>
  <c r="G158" i="7"/>
  <c r="G155" i="7"/>
  <c r="F155" i="7"/>
  <c r="F150" i="7"/>
  <c r="G150" i="7"/>
  <c r="F118" i="7"/>
  <c r="G118" i="7"/>
  <c r="F130" i="7"/>
  <c r="G130" i="7"/>
  <c r="G107" i="7"/>
  <c r="F107" i="7"/>
  <c r="B41" i="2" s="1"/>
  <c r="B42" i="2" s="1"/>
  <c r="G163" i="7"/>
  <c r="F163" i="7"/>
  <c r="G143" i="7"/>
  <c r="F143" i="7"/>
  <c r="F138" i="7"/>
  <c r="G138" i="7"/>
  <c r="G115" i="7"/>
  <c r="F115" i="7"/>
  <c r="G135" i="7"/>
  <c r="F135" i="7"/>
  <c r="F110" i="7"/>
  <c r="G110" i="7"/>
  <c r="H110" i="7" s="1"/>
  <c r="E75" i="7"/>
  <c r="D75" i="7" s="1"/>
  <c r="F75" i="7"/>
  <c r="G75" i="7"/>
  <c r="G160" i="7"/>
  <c r="H153" i="7"/>
  <c r="G152" i="7"/>
  <c r="G70" i="7"/>
  <c r="E70" i="7"/>
  <c r="D70" i="7" s="1"/>
  <c r="E63" i="7"/>
  <c r="D63" i="7" s="1"/>
  <c r="F63" i="7"/>
  <c r="E52" i="7"/>
  <c r="D52" i="7" s="1"/>
  <c r="G52" i="7"/>
  <c r="E37" i="7"/>
  <c r="D37" i="7" s="1"/>
  <c r="F37" i="7"/>
  <c r="E33" i="7"/>
  <c r="D33" i="7" s="1"/>
  <c r="F33" i="7"/>
  <c r="G33" i="7"/>
  <c r="G23" i="7"/>
  <c r="E23" i="7"/>
  <c r="D23" i="7" s="1"/>
  <c r="F23" i="7"/>
  <c r="G156" i="7"/>
  <c r="H156" i="7" s="1"/>
  <c r="G148" i="7"/>
  <c r="H148" i="7" s="1"/>
  <c r="F144" i="7"/>
  <c r="F140" i="7"/>
  <c r="G104" i="7"/>
  <c r="D103" i="7"/>
  <c r="E106" i="7"/>
  <c r="D106" i="7" s="1"/>
  <c r="G100" i="7"/>
  <c r="G95" i="7"/>
  <c r="H95" i="7" s="1"/>
  <c r="G91" i="7"/>
  <c r="H91" i="7" s="1"/>
  <c r="G87" i="7"/>
  <c r="H87" i="7" s="1"/>
  <c r="H74" i="7"/>
  <c r="F65" i="7"/>
  <c r="G65" i="7"/>
  <c r="E65" i="7"/>
  <c r="D65" i="7" s="1"/>
  <c r="E59" i="7"/>
  <c r="D59" i="7" s="1"/>
  <c r="F59" i="7"/>
  <c r="E41" i="7"/>
  <c r="D41" i="7" s="1"/>
  <c r="F41" i="7"/>
  <c r="G41" i="7"/>
  <c r="G35" i="7"/>
  <c r="F35" i="7"/>
  <c r="E35" i="7"/>
  <c r="D35" i="7" s="1"/>
  <c r="F7" i="7"/>
  <c r="E7" i="7"/>
  <c r="B20" i="2" s="1"/>
  <c r="G7" i="7"/>
  <c r="H149" i="7"/>
  <c r="E163" i="7"/>
  <c r="D163" i="7" s="1"/>
  <c r="E159" i="7"/>
  <c r="D159" i="7" s="1"/>
  <c r="E155" i="7"/>
  <c r="D155" i="7" s="1"/>
  <c r="E151" i="7"/>
  <c r="D151" i="7" s="1"/>
  <c r="E147" i="7"/>
  <c r="D147" i="7" s="1"/>
  <c r="E143" i="7"/>
  <c r="D143" i="7" s="1"/>
  <c r="E139" i="7"/>
  <c r="D139" i="7" s="1"/>
  <c r="E135" i="7"/>
  <c r="D135" i="7" s="1"/>
  <c r="E131" i="7"/>
  <c r="D131" i="7" s="1"/>
  <c r="E127" i="7"/>
  <c r="D127" i="7" s="1"/>
  <c r="E123" i="7"/>
  <c r="D123" i="7" s="1"/>
  <c r="E119" i="7"/>
  <c r="D119" i="7" s="1"/>
  <c r="E115" i="7"/>
  <c r="D115" i="7" s="1"/>
  <c r="E111" i="7"/>
  <c r="D111" i="7" s="1"/>
  <c r="E107" i="7"/>
  <c r="D107" i="7" s="1"/>
  <c r="G106" i="7"/>
  <c r="E105" i="7"/>
  <c r="F97" i="7"/>
  <c r="F95" i="7"/>
  <c r="G94" i="7"/>
  <c r="H94" i="7" s="1"/>
  <c r="F91" i="7"/>
  <c r="G90" i="7"/>
  <c r="H90" i="7" s="1"/>
  <c r="F87" i="7"/>
  <c r="F85" i="7"/>
  <c r="G85" i="7"/>
  <c r="H85" i="7" s="1"/>
  <c r="G82" i="7"/>
  <c r="E82" i="7"/>
  <c r="D82" i="7" s="1"/>
  <c r="E76" i="7"/>
  <c r="G72" i="7"/>
  <c r="G71" i="7"/>
  <c r="H71" i="7" s="1"/>
  <c r="F70" i="7"/>
  <c r="E67" i="7"/>
  <c r="D67" i="7" s="1"/>
  <c r="F67" i="7"/>
  <c r="F34" i="7"/>
  <c r="E34" i="7"/>
  <c r="D34" i="7" s="1"/>
  <c r="G34" i="7"/>
  <c r="E9" i="7"/>
  <c r="D9" i="7" s="1"/>
  <c r="G9" i="7"/>
  <c r="F9" i="7"/>
  <c r="E140" i="7"/>
  <c r="D140" i="7" s="1"/>
  <c r="E136" i="7"/>
  <c r="D136" i="7" s="1"/>
  <c r="E132" i="7"/>
  <c r="D132" i="7" s="1"/>
  <c r="E128" i="7"/>
  <c r="D128" i="7" s="1"/>
  <c r="E124" i="7"/>
  <c r="D124" i="7" s="1"/>
  <c r="E120" i="7"/>
  <c r="D120" i="7" s="1"/>
  <c r="E116" i="7"/>
  <c r="D116" i="7" s="1"/>
  <c r="E112" i="7"/>
  <c r="D112" i="7" s="1"/>
  <c r="E108" i="7"/>
  <c r="D108" i="7" s="1"/>
  <c r="E104" i="7"/>
  <c r="D104" i="7" s="1"/>
  <c r="E100" i="7"/>
  <c r="D100" i="7" s="1"/>
  <c r="F94" i="7"/>
  <c r="F90" i="7"/>
  <c r="G80" i="7"/>
  <c r="H80" i="7" s="1"/>
  <c r="G79" i="7"/>
  <c r="F77" i="7"/>
  <c r="G77" i="7"/>
  <c r="H77" i="7" s="1"/>
  <c r="E72" i="7"/>
  <c r="D72" i="7" s="1"/>
  <c r="F71" i="7"/>
  <c r="G63" i="7"/>
  <c r="H63" i="7" s="1"/>
  <c r="G62" i="7"/>
  <c r="E62" i="7"/>
  <c r="D62" i="7" s="1"/>
  <c r="H58" i="7"/>
  <c r="F52" i="7"/>
  <c r="G47" i="7"/>
  <c r="E47" i="7"/>
  <c r="D47" i="7" s="1"/>
  <c r="F47" i="7"/>
  <c r="F42" i="7"/>
  <c r="E42" i="7"/>
  <c r="D42" i="7" s="1"/>
  <c r="G42" i="7"/>
  <c r="G37" i="7"/>
  <c r="E16" i="7"/>
  <c r="D16" i="7" s="1"/>
  <c r="G16" i="7"/>
  <c r="F16" i="7"/>
  <c r="E44" i="7"/>
  <c r="D44" i="7" s="1"/>
  <c r="G44" i="7"/>
  <c r="E28" i="7"/>
  <c r="D28" i="7" s="1"/>
  <c r="G28" i="7"/>
  <c r="F17" i="7"/>
  <c r="E17" i="7"/>
  <c r="D17" i="7" s="1"/>
  <c r="E12" i="7"/>
  <c r="D12" i="7" s="1"/>
  <c r="G12" i="7"/>
  <c r="F10" i="7"/>
  <c r="E10" i="7"/>
  <c r="D10" i="7" s="1"/>
  <c r="G3" i="7"/>
  <c r="E3" i="7"/>
  <c r="D3" i="7" s="1"/>
  <c r="F3" i="7"/>
  <c r="G57" i="7"/>
  <c r="E54" i="7"/>
  <c r="D54" i="7" s="1"/>
  <c r="G53" i="7"/>
  <c r="E50" i="7"/>
  <c r="D50" i="7" s="1"/>
  <c r="G49" i="7"/>
  <c r="G46" i="7"/>
  <c r="H46" i="7" s="1"/>
  <c r="G39" i="7"/>
  <c r="H39" i="7" s="1"/>
  <c r="F39" i="7"/>
  <c r="F29" i="7"/>
  <c r="E29" i="7"/>
  <c r="D29" i="7" s="1"/>
  <c r="E24" i="7"/>
  <c r="D24" i="7" s="1"/>
  <c r="G24" i="7"/>
  <c r="G19" i="7"/>
  <c r="E19" i="7"/>
  <c r="D19" i="7" s="1"/>
  <c r="F19" i="7"/>
  <c r="F13" i="7"/>
  <c r="E13" i="7"/>
  <c r="D13" i="7" s="1"/>
  <c r="G45" i="7"/>
  <c r="H45" i="7" s="1"/>
  <c r="F44" i="7"/>
  <c r="G31" i="7"/>
  <c r="E31" i="7"/>
  <c r="D31" i="7" s="1"/>
  <c r="F31" i="7"/>
  <c r="F25" i="7"/>
  <c r="E25" i="7"/>
  <c r="D25" i="7" s="1"/>
  <c r="F21" i="7"/>
  <c r="E21" i="7"/>
  <c r="D21" i="7" s="1"/>
  <c r="F4" i="7"/>
  <c r="E4" i="7"/>
  <c r="D4" i="7" s="1"/>
  <c r="B11" i="2" l="1"/>
  <c r="F15" i="2"/>
  <c r="F9" i="2"/>
  <c r="F13" i="2"/>
  <c r="F4" i="2"/>
  <c r="F12" i="2"/>
  <c r="F7" i="2"/>
  <c r="F11" i="2"/>
  <c r="F3" i="2"/>
  <c r="F6" i="2"/>
  <c r="F8" i="2"/>
  <c r="F14" i="2"/>
  <c r="F5" i="2"/>
  <c r="F10" i="2"/>
  <c r="B23" i="2"/>
  <c r="B22" i="2"/>
  <c r="B36" i="2"/>
  <c r="B28" i="2"/>
  <c r="B46" i="2"/>
  <c r="B48" i="2" s="1"/>
  <c r="B47" i="2" s="1"/>
  <c r="B43" i="2" s="1"/>
  <c r="P7" i="1" s="1"/>
  <c r="I7" i="2"/>
  <c r="I8" i="2"/>
  <c r="I14" i="2"/>
  <c r="I9" i="2"/>
  <c r="I3" i="2"/>
  <c r="I4" i="2"/>
  <c r="I5" i="2"/>
  <c r="I12" i="2"/>
  <c r="I11" i="2"/>
  <c r="I10" i="2"/>
  <c r="I6" i="2"/>
  <c r="I15" i="2"/>
  <c r="I13" i="2"/>
  <c r="B14" i="2"/>
  <c r="H102" i="7"/>
  <c r="H12" i="7"/>
  <c r="D2" i="7"/>
  <c r="H15" i="7"/>
  <c r="H31" i="7"/>
  <c r="H19" i="7"/>
  <c r="H24" i="7"/>
  <c r="H106" i="7"/>
  <c r="H67" i="7"/>
  <c r="H152" i="7"/>
  <c r="H130" i="7"/>
  <c r="H55" i="7"/>
  <c r="H8" i="7"/>
  <c r="H14" i="7"/>
  <c r="H150" i="7"/>
  <c r="H157" i="7"/>
  <c r="H38" i="7"/>
  <c r="H22" i="7"/>
  <c r="H137" i="7"/>
  <c r="H64" i="7"/>
  <c r="H50" i="7"/>
  <c r="H34" i="7"/>
  <c r="H147" i="7"/>
  <c r="H52" i="7"/>
  <c r="H138" i="7"/>
  <c r="H60" i="7"/>
  <c r="G24" i="6"/>
  <c r="H160" i="7"/>
  <c r="H141" i="7"/>
  <c r="H126" i="7"/>
  <c r="D126" i="7"/>
  <c r="H49" i="7"/>
  <c r="H57" i="7"/>
  <c r="H145" i="7"/>
  <c r="H61" i="7"/>
  <c r="H117" i="7"/>
  <c r="H73" i="7"/>
  <c r="H79" i="7"/>
  <c r="H33" i="7"/>
  <c r="H118" i="7"/>
  <c r="H158" i="7"/>
  <c r="H2" i="7"/>
  <c r="H88" i="7"/>
  <c r="H97" i="7"/>
  <c r="H161" i="7"/>
  <c r="G18" i="6"/>
  <c r="G22" i="6" s="1"/>
  <c r="K8" i="4"/>
  <c r="G19" i="6" s="1"/>
  <c r="G21" i="6" s="1"/>
  <c r="H122" i="7"/>
  <c r="H69" i="7"/>
  <c r="H26" i="7"/>
  <c r="H4" i="7"/>
  <c r="H70" i="7"/>
  <c r="H112" i="7"/>
  <c r="H163" i="7"/>
  <c r="D121" i="7"/>
  <c r="H121" i="7"/>
  <c r="H162" i="7"/>
  <c r="H114" i="7"/>
  <c r="H154" i="7"/>
  <c r="D125" i="7"/>
  <c r="H125" i="7"/>
  <c r="H28" i="7"/>
  <c r="H10" i="7"/>
  <c r="H37" i="7"/>
  <c r="H35" i="7"/>
  <c r="H115" i="7"/>
  <c r="I63" i="9"/>
  <c r="H48" i="7"/>
  <c r="H36" i="7"/>
  <c r="H144" i="7"/>
  <c r="H66" i="7"/>
  <c r="H78" i="7"/>
  <c r="H96" i="7"/>
  <c r="H53" i="7"/>
  <c r="H42" i="7"/>
  <c r="H9" i="7"/>
  <c r="H135" i="7"/>
  <c r="H107" i="7"/>
  <c r="H139" i="7"/>
  <c r="H30" i="7"/>
  <c r="D109" i="7"/>
  <c r="H109" i="7"/>
  <c r="H129" i="7"/>
  <c r="H98" i="7"/>
  <c r="H142" i="7"/>
  <c r="H92" i="7"/>
  <c r="I64" i="9"/>
  <c r="C10" i="6"/>
  <c r="C13" i="6" s="1"/>
  <c r="E1" i="2"/>
  <c r="B10" i="6"/>
  <c r="B12" i="6" s="1"/>
  <c r="H72" i="7"/>
  <c r="H17" i="7"/>
  <c r="H25" i="7"/>
  <c r="H59" i="7"/>
  <c r="H3" i="7"/>
  <c r="H62" i="7"/>
  <c r="D76" i="7"/>
  <c r="H76" i="7"/>
  <c r="H105" i="7"/>
  <c r="D105" i="7"/>
  <c r="H104" i="7"/>
  <c r="H116" i="7"/>
  <c r="H140" i="7"/>
  <c r="H128" i="7"/>
  <c r="H108" i="7"/>
  <c r="H120" i="7"/>
  <c r="H155" i="7"/>
  <c r="H123" i="7"/>
  <c r="D7" i="7"/>
  <c r="H159" i="7"/>
  <c r="H29" i="7"/>
  <c r="H21" i="7"/>
  <c r="H41" i="7"/>
  <c r="H54" i="7"/>
  <c r="H65" i="7"/>
  <c r="H100" i="7"/>
  <c r="H75" i="7"/>
  <c r="H131" i="7"/>
  <c r="H119" i="7"/>
  <c r="H111" i="7"/>
  <c r="H143" i="7"/>
  <c r="H124" i="7"/>
  <c r="H132" i="7"/>
  <c r="H13" i="7"/>
  <c r="H44" i="7"/>
  <c r="H16" i="7"/>
  <c r="H47" i="7"/>
  <c r="H82" i="7"/>
  <c r="H7" i="7"/>
  <c r="H23" i="7"/>
  <c r="H151" i="7"/>
  <c r="H127" i="7"/>
  <c r="H136" i="7"/>
  <c r="D29" i="9" l="1"/>
  <c r="D6" i="9"/>
  <c r="D3" i="9"/>
  <c r="D15" i="9"/>
  <c r="D7" i="9"/>
  <c r="D56" i="9"/>
  <c r="E56" i="9" s="1"/>
  <c r="D4" i="9"/>
  <c r="D8" i="9"/>
  <c r="D42" i="9"/>
  <c r="E42" i="9" s="1"/>
  <c r="D5" i="9"/>
  <c r="D9" i="9"/>
  <c r="P18" i="1"/>
  <c r="K6" i="2"/>
  <c r="M6" i="2" s="1"/>
  <c r="K8" i="2"/>
  <c r="M8" i="2" s="1"/>
  <c r="K12" i="2"/>
  <c r="M12" i="2" s="1"/>
  <c r="K15" i="2"/>
  <c r="M15" i="2" s="1"/>
  <c r="K14" i="2"/>
  <c r="M14" i="2" s="1"/>
  <c r="K10" i="2"/>
  <c r="M10" i="2" s="1"/>
  <c r="K5" i="2"/>
  <c r="M5" i="2" s="1"/>
  <c r="K3" i="2"/>
  <c r="M3" i="2" s="1"/>
  <c r="K4" i="2"/>
  <c r="M4" i="2" s="1"/>
  <c r="K9" i="2"/>
  <c r="M9" i="2" s="1"/>
  <c r="K7" i="2"/>
  <c r="M7" i="2" s="1"/>
  <c r="K13" i="2"/>
  <c r="M13" i="2" s="1"/>
  <c r="K11" i="2"/>
  <c r="M11" i="2" s="1"/>
  <c r="P16" i="1"/>
  <c r="P17" i="1" s="1"/>
  <c r="H7" i="4" s="1"/>
  <c r="B7" i="4" s="1"/>
  <c r="P8" i="1"/>
  <c r="P9" i="1" s="1"/>
  <c r="R7" i="2"/>
  <c r="R14" i="2"/>
  <c r="R12" i="2"/>
  <c r="R15" i="2"/>
  <c r="R13" i="2"/>
  <c r="R10" i="2"/>
  <c r="R8" i="2"/>
  <c r="R11" i="2"/>
  <c r="R9" i="2"/>
  <c r="B32" i="2"/>
  <c r="R6" i="2"/>
  <c r="R4" i="2"/>
  <c r="B29" i="2"/>
  <c r="R5" i="2"/>
  <c r="S5" i="2" s="1"/>
  <c r="R3" i="2"/>
  <c r="B18" i="2"/>
  <c r="B17" i="2"/>
  <c r="U9" i="2"/>
  <c r="V9" i="2" s="1"/>
  <c r="U3" i="2"/>
  <c r="V3" i="2" s="1"/>
  <c r="U6" i="2"/>
  <c r="V6" i="2" s="1"/>
  <c r="U8" i="2"/>
  <c r="V8" i="2" s="1"/>
  <c r="U5" i="2"/>
  <c r="V5" i="2" s="1"/>
  <c r="U4" i="2"/>
  <c r="V4" i="2" s="1"/>
  <c r="U7" i="2"/>
  <c r="V7" i="2" s="1"/>
  <c r="E6" i="2"/>
  <c r="G6" i="2" s="1"/>
  <c r="E7" i="2"/>
  <c r="G7" i="2" s="1"/>
  <c r="E9" i="2"/>
  <c r="G9" i="2" s="1"/>
  <c r="E11" i="2"/>
  <c r="G11" i="2" s="1"/>
  <c r="E10" i="2"/>
  <c r="G10" i="2" s="1"/>
  <c r="E8" i="2"/>
  <c r="G8" i="2" s="1"/>
  <c r="E3" i="2"/>
  <c r="G3" i="2" s="1"/>
  <c r="E15" i="2"/>
  <c r="G15" i="2" s="1"/>
  <c r="E4" i="2"/>
  <c r="G4" i="2" s="1"/>
  <c r="E12" i="2"/>
  <c r="G12" i="2" s="1"/>
  <c r="E14" i="2"/>
  <c r="G14" i="2" s="1"/>
  <c r="E5" i="2"/>
  <c r="G5" i="2" s="1"/>
  <c r="E13" i="2"/>
  <c r="G13" i="2" s="1"/>
  <c r="E39" i="10"/>
  <c r="E63" i="9"/>
  <c r="B13" i="6"/>
  <c r="H1" i="2"/>
  <c r="C12" i="6"/>
  <c r="S10" i="2" l="1"/>
  <c r="S14" i="2"/>
  <c r="S3" i="2"/>
  <c r="S6" i="2"/>
  <c r="S8" i="2"/>
  <c r="S12" i="2"/>
  <c r="B8" i="4"/>
  <c r="G4" i="8"/>
  <c r="P3" i="2"/>
  <c r="P14" i="2"/>
  <c r="P7" i="2"/>
  <c r="P12" i="2"/>
  <c r="P15" i="2"/>
  <c r="P11" i="2"/>
  <c r="P13" i="2"/>
  <c r="P6" i="2"/>
  <c r="P4" i="2"/>
  <c r="P9" i="2"/>
  <c r="P5" i="2"/>
  <c r="P8" i="2"/>
  <c r="P10" i="2"/>
  <c r="H7" i="2"/>
  <c r="J7" i="2" s="1"/>
  <c r="H6" i="2"/>
  <c r="J6" i="2" s="1"/>
  <c r="H8" i="2"/>
  <c r="J8" i="2" s="1"/>
  <c r="H10" i="2"/>
  <c r="J10" i="2" s="1"/>
  <c r="H9" i="2"/>
  <c r="J9" i="2" s="1"/>
  <c r="H12" i="2"/>
  <c r="J12" i="2" s="1"/>
  <c r="H5" i="2"/>
  <c r="J5" i="2" s="1"/>
  <c r="H3" i="2"/>
  <c r="J3" i="2" s="1"/>
  <c r="H13" i="2"/>
  <c r="J13" i="2" s="1"/>
  <c r="H15" i="2"/>
  <c r="J15" i="2" s="1"/>
  <c r="H11" i="2"/>
  <c r="J11" i="2" s="1"/>
  <c r="H4" i="2"/>
  <c r="J4" i="2" s="1"/>
  <c r="H14" i="2"/>
  <c r="J14" i="2" s="1"/>
  <c r="S9" i="2"/>
  <c r="S13" i="2"/>
  <c r="S7" i="2"/>
  <c r="S4" i="2"/>
  <c r="S11" i="2"/>
  <c r="S15" i="2"/>
  <c r="J63" i="9"/>
  <c r="I58" i="9"/>
  <c r="E7" i="9"/>
  <c r="E29" i="9"/>
  <c r="E8" i="9"/>
  <c r="C7" i="10"/>
  <c r="B10" i="10"/>
  <c r="J4" i="4"/>
  <c r="G6" i="8" l="1"/>
  <c r="B21" i="10"/>
  <c r="B14" i="10"/>
  <c r="E9" i="9"/>
  <c r="G6" i="6"/>
  <c r="E3" i="9"/>
  <c r="B25" i="10"/>
  <c r="J7" i="4"/>
  <c r="J5" i="4"/>
  <c r="F25" i="10" l="1"/>
  <c r="G7" i="6"/>
  <c r="G9" i="6" s="1"/>
  <c r="G5" i="6"/>
  <c r="G11" i="6" s="1"/>
  <c r="E13" i="9"/>
  <c r="E11" i="9"/>
  <c r="E14" i="9"/>
  <c r="E12" i="9"/>
  <c r="E15" i="9"/>
  <c r="G10" i="6"/>
  <c r="J6" i="4"/>
  <c r="J8" i="4"/>
  <c r="L7" i="4"/>
  <c r="M3" i="4" l="1"/>
  <c r="M4" i="4" s="1"/>
  <c r="O3" i="4" s="1"/>
  <c r="I22" i="6"/>
  <c r="I23" i="6" s="1"/>
  <c r="I24" i="6" s="1"/>
  <c r="L8" i="4"/>
  <c r="L3" i="4"/>
  <c r="L4" i="4" l="1"/>
  <c r="N3" i="4"/>
  <c r="F20" i="6" l="1"/>
  <c r="F16" i="6"/>
  <c r="F18" i="6"/>
  <c r="F22" i="6" s="1"/>
  <c r="F17" i="6"/>
  <c r="F23" i="6" s="1"/>
  <c r="F19" i="6"/>
  <c r="F21" i="6" s="1"/>
  <c r="H22" i="6" l="1"/>
  <c r="H23" i="6" s="1"/>
  <c r="H24" i="6"/>
  <c r="F24" i="6"/>
  <c r="B18" i="10"/>
  <c r="F18" i="10" s="1"/>
  <c r="B31" i="10" l="1"/>
  <c r="B39" i="10" l="1"/>
  <c r="B37" i="10"/>
  <c r="G3" i="8" l="1"/>
  <c r="G5" i="8"/>
  <c r="G7" i="8" s="1"/>
  <c r="E4" i="9"/>
  <c r="C24" i="8" l="1"/>
  <c r="D24" i="8" s="1"/>
  <c r="C29" i="8"/>
  <c r="D29" i="8" s="1"/>
  <c r="C34" i="8"/>
  <c r="C28" i="8"/>
  <c r="C33" i="8"/>
  <c r="D33" i="8" s="1"/>
  <c r="C27" i="8"/>
  <c r="D27" i="8" s="1"/>
  <c r="C23" i="8"/>
  <c r="C26" i="8"/>
  <c r="C31" i="8"/>
  <c r="D31" i="8" s="1"/>
  <c r="C30" i="8"/>
  <c r="D30" i="8" s="1"/>
  <c r="C32" i="8"/>
  <c r="D32" i="8" s="1"/>
  <c r="C21" i="8"/>
  <c r="C22" i="8"/>
  <c r="D22" i="8" s="1"/>
  <c r="C25" i="8"/>
  <c r="D25" i="8" s="1"/>
  <c r="F4" i="6"/>
  <c r="F8" i="6" s="1"/>
  <c r="F7" i="6" s="1"/>
  <c r="F9" i="6" s="1"/>
  <c r="G3" i="9"/>
  <c r="G4" i="9"/>
  <c r="B6" i="6"/>
  <c r="C6" i="6" s="1"/>
  <c r="G56" i="9"/>
  <c r="F23" i="8" l="1"/>
  <c r="D23" i="8"/>
  <c r="F34" i="8"/>
  <c r="D34" i="8"/>
  <c r="F26" i="8"/>
  <c r="D26" i="8"/>
  <c r="F21" i="8"/>
  <c r="D21" i="8"/>
  <c r="F28" i="8"/>
  <c r="D28" i="8"/>
  <c r="E25" i="8"/>
  <c r="G25" i="8"/>
  <c r="E30" i="8"/>
  <c r="G30" i="8"/>
  <c r="E27" i="8"/>
  <c r="G27" i="8"/>
  <c r="E29" i="8"/>
  <c r="G29" i="8"/>
  <c r="E22" i="8"/>
  <c r="G22" i="8"/>
  <c r="E31" i="8"/>
  <c r="G31" i="8"/>
  <c r="E33" i="8"/>
  <c r="G33" i="8"/>
  <c r="E24" i="8"/>
  <c r="G24" i="8"/>
  <c r="F29" i="8"/>
  <c r="F27" i="8"/>
  <c r="E21" i="8"/>
  <c r="G21" i="8"/>
  <c r="E26" i="8"/>
  <c r="G26" i="8"/>
  <c r="E28" i="8"/>
  <c r="G28" i="8"/>
  <c r="F24" i="8"/>
  <c r="F30" i="8"/>
  <c r="F22" i="8"/>
  <c r="E32" i="8"/>
  <c r="G32" i="8"/>
  <c r="E23" i="8"/>
  <c r="G23" i="8"/>
  <c r="E34" i="8"/>
  <c r="G34" i="8"/>
  <c r="F33" i="8"/>
  <c r="F31" i="8"/>
  <c r="F25" i="8"/>
  <c r="F32" i="8"/>
  <c r="F6" i="6"/>
  <c r="F10" i="6" s="1"/>
  <c r="F12" i="6"/>
  <c r="F5" i="6"/>
  <c r="F11" i="6" s="1"/>
  <c r="B36" i="8" l="1"/>
  <c r="J3" i="8" s="1"/>
  <c r="G15" i="9"/>
  <c r="B37" i="8" l="1"/>
  <c r="B5" i="6"/>
  <c r="C5" i="6" s="1"/>
  <c r="J2" i="8"/>
  <c r="E5" i="9"/>
  <c r="K8" i="6"/>
  <c r="J6" i="6"/>
  <c r="L8" i="6"/>
  <c r="L9" i="6" s="1"/>
  <c r="L10" i="6" s="1"/>
  <c r="J5" i="6"/>
  <c r="J9" i="6" s="1"/>
  <c r="J8" i="6" s="1"/>
  <c r="I7" i="6"/>
  <c r="I6" i="6" s="1"/>
  <c r="B19" i="6"/>
  <c r="L16" i="6" l="1"/>
  <c r="L17" i="6" s="1"/>
  <c r="L18" i="6" s="1"/>
  <c r="K16" i="6"/>
  <c r="I5" i="6"/>
  <c r="I9" i="6" s="1"/>
  <c r="I8" i="6"/>
  <c r="E6" i="9"/>
  <c r="C19" i="6"/>
  <c r="I15" i="6"/>
  <c r="I16" i="6" s="1"/>
  <c r="I17" i="6" s="1"/>
  <c r="J16" i="6"/>
  <c r="J17" i="6" s="1"/>
  <c r="B17" i="6"/>
  <c r="K9" i="6"/>
  <c r="K17" i="6" l="1"/>
  <c r="C17" i="6"/>
  <c r="E10" i="9"/>
  <c r="K10" i="6"/>
  <c r="B7" i="6"/>
  <c r="E44" i="9" l="1"/>
  <c r="E58" i="9" s="1"/>
  <c r="G10" i="9"/>
  <c r="G44" i="9" s="1"/>
  <c r="G58" i="9" s="1"/>
  <c r="C7" i="6"/>
  <c r="K18" i="6"/>
  <c r="E66" i="9" l="1"/>
  <c r="E70" i="9" s="1"/>
  <c r="J58" i="9"/>
  <c r="G66" i="9" l="1"/>
  <c r="G70" i="9" l="1"/>
  <c r="I70" i="9"/>
  <c r="J70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City University London</author>
    <author>Chris</author>
    <author>Atkin, Chris</author>
  </authors>
  <commentList>
    <comment ref="E5" authorId="0" shapeId="0" xr:uid="{00000000-0006-0000-0800-000001000000}">
      <text>
        <r>
          <rPr>
            <sz val="9"/>
            <color indexed="81"/>
            <rFont val="Tahoma"/>
            <family val="2"/>
          </rPr>
          <t>Slide 13.42</t>
        </r>
      </text>
    </comment>
    <comment ref="E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Assumes that cabin width is set by economy seating layout.</t>
        </r>
      </text>
    </comment>
    <comment ref="E10" authorId="0" shapeId="0" xr:uid="{00000000-0006-0000-0800-000003000000}">
      <text>
        <r>
          <rPr>
            <sz val="9"/>
            <color indexed="81"/>
            <rFont val="Tahoma"/>
            <family val="2"/>
          </rPr>
          <t>Morichon, slide 13.52</t>
        </r>
      </text>
    </comment>
    <comment ref="B14" authorId="0" shapeId="0" xr:uid="{00000000-0006-0000-0800-000004000000}">
      <text>
        <r>
          <rPr>
            <sz val="9"/>
            <color indexed="81"/>
            <rFont val="Tahoma"/>
            <family val="2"/>
          </rPr>
          <t>Slide 13.57</t>
        </r>
      </text>
    </comment>
    <comment ref="B20" authorId="0" shapeId="0" xr:uid="{00000000-0006-0000-0800-000005000000}">
      <text>
        <r>
          <rPr>
            <sz val="9"/>
            <color indexed="81"/>
            <rFont val="Tahoma"/>
            <family val="2"/>
          </rPr>
          <t>Slide 13.57 - mid-range</t>
        </r>
      </text>
    </comment>
    <comment ref="B21" authorId="0" shapeId="0" xr:uid="{00000000-0006-0000-0800-000006000000}">
      <text>
        <r>
          <rPr>
            <sz val="9"/>
            <color indexed="81"/>
            <rFont val="Tahoma"/>
            <family val="2"/>
          </rPr>
          <t>Slide 13.58</t>
        </r>
      </text>
    </comment>
    <comment ref="A24" authorId="1" shapeId="0" xr:uid="{00000000-0006-0000-0800-000008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As the fuselage gets narrower, you can't fit as many seats per row.</t>
        </r>
      </text>
    </comment>
    <comment ref="B28" authorId="2" shapeId="0" xr:uid="{00000000-0006-0000-0800-000009000000}">
      <text>
        <r>
          <rPr>
            <b/>
            <sz val="9"/>
            <color indexed="81"/>
            <rFont val="Tahoma"/>
            <family val="2"/>
          </rPr>
          <t>Atkin, Chris:</t>
        </r>
        <r>
          <rPr>
            <sz val="9"/>
            <color indexed="81"/>
            <rFont val="Tahoma"/>
            <family val="2"/>
          </rPr>
          <t xml:space="preserve">
Additional exits, WCs and galleys.</t>
        </r>
      </text>
    </comment>
    <comment ref="E39" authorId="0" shapeId="0" xr:uid="{00000000-0006-0000-0800-00000A000000}">
      <text>
        <r>
          <rPr>
            <sz val="9"/>
            <color indexed="81"/>
            <rFont val="Tahoma"/>
            <family val="2"/>
          </rPr>
          <t>AIAA-04-5069 modified, slide 13.53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</author>
  </authors>
  <commentList>
    <comment ref="J2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Use this cell to shift your wing/fuselage juntion fwd (-%) or aft (+%).</t>
        </r>
      </text>
    </comment>
    <comment ref="F3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Check against Scissors sheet!</t>
        </r>
      </text>
    </comment>
    <comment ref="G3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For comparison with EC2164</t>
        </r>
      </text>
    </comment>
    <comment ref="G4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For comparison with EC2164</t>
        </r>
      </text>
    </comment>
    <comment ref="I10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Chris:</t>
        </r>
        <r>
          <rPr>
            <sz val="9"/>
            <color indexed="81"/>
            <rFont val="Tahoma"/>
            <family val="2"/>
          </rPr>
          <t xml:space="preserve">
MAC leading edge</t>
        </r>
      </text>
    </comment>
  </commentList>
</comments>
</file>

<file path=xl/sharedStrings.xml><?xml version="1.0" encoding="utf-8"?>
<sst xmlns="http://schemas.openxmlformats.org/spreadsheetml/2006/main" count="678" uniqueCount="460">
  <si>
    <t>T/W</t>
  </si>
  <si>
    <t>Tcr / Tsls</t>
  </si>
  <si>
    <t>Range (nm)</t>
  </si>
  <si>
    <t>ESAR (m)</t>
  </si>
  <si>
    <t>Whold/MTOW</t>
  </si>
  <si>
    <t>L/D</t>
  </si>
  <si>
    <t>Alt (ft)</t>
  </si>
  <si>
    <t>Tclimb / Tsls</t>
  </si>
  <si>
    <t>CL (climb)</t>
  </si>
  <si>
    <t>V2/Vstall</t>
  </si>
  <si>
    <t>2nd Segment Climb</t>
  </si>
  <si>
    <t>Take-Off</t>
  </si>
  <si>
    <t>S(TOFL)</t>
  </si>
  <si>
    <t>MTOW (kg)</t>
  </si>
  <si>
    <t>T(TO) / Tsls</t>
  </si>
  <si>
    <t>A(FL)</t>
  </si>
  <si>
    <t>B(FL)</t>
  </si>
  <si>
    <t>C(FL)</t>
  </si>
  <si>
    <t>Mission</t>
  </si>
  <si>
    <t>MLW/MTOW</t>
  </si>
  <si>
    <t>Wcr/MTOW</t>
  </si>
  <si>
    <t>AR</t>
  </si>
  <si>
    <t>Payload (kg)</t>
  </si>
  <si>
    <t>C_MTOW</t>
  </si>
  <si>
    <t>C_OWE</t>
  </si>
  <si>
    <t>Altitude (m)</t>
  </si>
  <si>
    <t>Altitude (ft)</t>
  </si>
  <si>
    <t>Temperature (K)</t>
  </si>
  <si>
    <t>Pressure (Pa)</t>
  </si>
  <si>
    <r>
      <t>r</t>
    </r>
    <r>
      <rPr>
        <b/>
        <sz val="8"/>
        <rFont val="Arial"/>
        <family val="2"/>
      </rPr>
      <t xml:space="preserve"> (kg/m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)</t>
    </r>
  </si>
  <si>
    <t>Sound Speed (m/s)</t>
  </si>
  <si>
    <r>
      <t>m</t>
    </r>
    <r>
      <rPr>
        <b/>
        <sz val="8"/>
        <rFont val="Arial"/>
        <family val="2"/>
      </rPr>
      <t xml:space="preserve"> (kg/m/s)</t>
    </r>
  </si>
  <si>
    <r>
      <t>n</t>
    </r>
    <r>
      <rPr>
        <b/>
        <sz val="8"/>
        <rFont val="Arial"/>
        <family val="2"/>
      </rPr>
      <t xml:space="preserve"> (m</t>
    </r>
    <r>
      <rPr>
        <b/>
        <vertAlign val="superscript"/>
        <sz val="8"/>
        <rFont val="Arial"/>
        <family val="2"/>
      </rPr>
      <t>2</t>
    </r>
    <r>
      <rPr>
        <b/>
        <sz val="8"/>
        <rFont val="Arial"/>
        <family val="2"/>
      </rPr>
      <t>/s)</t>
    </r>
  </si>
  <si>
    <t>T0</t>
  </si>
  <si>
    <r>
      <rPr>
        <sz val="8"/>
        <rFont val="Symbol"/>
        <family val="1"/>
        <charset val="2"/>
      </rPr>
      <t>r</t>
    </r>
    <r>
      <rPr>
        <sz val="8"/>
        <rFont val="Arial"/>
        <family val="2"/>
      </rPr>
      <t>0</t>
    </r>
  </si>
  <si>
    <r>
      <rPr>
        <sz val="8"/>
        <rFont val="Symbol"/>
        <family val="1"/>
        <charset val="2"/>
      </rPr>
      <t>m</t>
    </r>
    <r>
      <rPr>
        <sz val="8"/>
        <rFont val="Arial"/>
        <family val="2"/>
      </rPr>
      <t>0</t>
    </r>
  </si>
  <si>
    <t>g</t>
  </si>
  <si>
    <t>R</t>
  </si>
  <si>
    <t>Lapse rate</t>
  </si>
  <si>
    <t>Tropopause</t>
  </si>
  <si>
    <t>OWE (kg)</t>
  </si>
  <si>
    <t>Wfuel (kg)</t>
  </si>
  <si>
    <t>V (m/s)</t>
  </si>
  <si>
    <t>elevator deflection (°)</t>
  </si>
  <si>
    <t>elevator lift curve slope (per rad)</t>
  </si>
  <si>
    <t>ZT</t>
  </si>
  <si>
    <t>wing-body zero-lift incidence</t>
  </si>
  <si>
    <t>XG</t>
  </si>
  <si>
    <t>MAC</t>
  </si>
  <si>
    <t>wing-body zero-lift pitching moment</t>
  </si>
  <si>
    <r>
      <t>aircraft (fuselage) incidence (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)</t>
    </r>
  </si>
  <si>
    <t>3. Landing</t>
  </si>
  <si>
    <t>2. Take-off</t>
  </si>
  <si>
    <t>1. Cruise</t>
  </si>
  <si>
    <t>ST1</t>
  </si>
  <si>
    <t>ST0</t>
  </si>
  <si>
    <t>CLwb</t>
  </si>
  <si>
    <t>CLt</t>
  </si>
  <si>
    <t>M shock</t>
  </si>
  <si>
    <r>
      <t>l</t>
    </r>
    <r>
      <rPr>
        <vertAlign val="subscript"/>
        <sz val="11"/>
        <color rgb="FFC00000"/>
        <rFont val="Symbol"/>
        <family val="1"/>
        <charset val="2"/>
      </rPr>
      <t>0</t>
    </r>
  </si>
  <si>
    <r>
      <rPr>
        <sz val="11"/>
        <color rgb="FFC00000"/>
        <rFont val="Symbol"/>
        <family val="1"/>
        <charset val="2"/>
      </rPr>
      <t>h</t>
    </r>
    <r>
      <rPr>
        <vertAlign val="subscript"/>
        <sz val="11"/>
        <color rgb="FFC00000"/>
        <rFont val="Calibri"/>
        <family val="2"/>
      </rPr>
      <t>c</t>
    </r>
  </si>
  <si>
    <r>
      <rPr>
        <sz val="11"/>
        <color theme="0" tint="-0.34998626667073579"/>
        <rFont val="Calibri"/>
        <family val="2"/>
        <scheme val="minor"/>
      </rPr>
      <t>tan</t>
    </r>
    <r>
      <rPr>
        <sz val="11"/>
        <color theme="0" tint="-0.34998626667073579"/>
        <rFont val="Symbol"/>
        <family val="1"/>
        <charset val="2"/>
      </rPr>
      <t>L</t>
    </r>
    <r>
      <rPr>
        <vertAlign val="subscript"/>
        <sz val="11"/>
        <color theme="0" tint="-0.34998626667073579"/>
        <rFont val="Calibri"/>
        <family val="2"/>
      </rPr>
      <t>½</t>
    </r>
  </si>
  <si>
    <r>
      <rPr>
        <sz val="11"/>
        <color theme="0" tint="-0.34998626667073579"/>
        <rFont val="Symbol"/>
        <family val="1"/>
        <charset val="2"/>
      </rPr>
      <t>h</t>
    </r>
    <r>
      <rPr>
        <vertAlign val="subscript"/>
        <sz val="11"/>
        <color theme="0" tint="-0.34998626667073579"/>
        <rFont val="Calibri"/>
        <family val="2"/>
      </rPr>
      <t>c</t>
    </r>
    <r>
      <rPr>
        <vertAlign val="superscript"/>
        <sz val="11"/>
        <color theme="0" tint="-0.34998626667073579"/>
        <rFont val="Calibri"/>
        <family val="2"/>
      </rPr>
      <t>2</t>
    </r>
  </si>
  <si>
    <t>xp</t>
  </si>
  <si>
    <t>yp</t>
  </si>
  <si>
    <r>
      <t>c</t>
    </r>
    <r>
      <rPr>
        <vertAlign val="subscript"/>
        <sz val="11"/>
        <color rgb="FF0000CC"/>
        <rFont val="Calibri"/>
        <family val="2"/>
        <scheme val="minor"/>
      </rPr>
      <t>r</t>
    </r>
    <r>
      <rPr>
        <sz val="11"/>
        <color rgb="FF0000CC"/>
        <rFont val="Calibri"/>
        <family val="2"/>
        <scheme val="minor"/>
      </rPr>
      <t>/s</t>
    </r>
  </si>
  <si>
    <r>
      <t>L</t>
    </r>
    <r>
      <rPr>
        <vertAlign val="subscript"/>
        <sz val="11"/>
        <color rgb="FF0000CC"/>
        <rFont val="Calibri"/>
        <family val="2"/>
        <scheme val="minor"/>
      </rPr>
      <t>LE</t>
    </r>
  </si>
  <si>
    <r>
      <t>L</t>
    </r>
    <r>
      <rPr>
        <vertAlign val="subscript"/>
        <sz val="11"/>
        <color rgb="FF0000CC"/>
        <rFont val="Calibri"/>
        <family val="2"/>
        <scheme val="minor"/>
      </rPr>
      <t>TE</t>
    </r>
  </si>
  <si>
    <t>mac1</t>
  </si>
  <si>
    <t>mac2</t>
  </si>
  <si>
    <t>S1</t>
  </si>
  <si>
    <t>S2</t>
  </si>
  <si>
    <t>xmac</t>
  </si>
  <si>
    <t>ymac</t>
  </si>
  <si>
    <r>
      <rPr>
        <sz val="11"/>
        <color theme="0" tint="-0.34998626667073579"/>
        <rFont val="Symbol"/>
        <family val="1"/>
        <charset val="2"/>
      </rPr>
      <t>D</t>
    </r>
    <r>
      <rPr>
        <sz val="11"/>
        <color theme="0" tint="-0.34998626667073579"/>
        <rFont val="Calibri"/>
        <family val="2"/>
        <scheme val="minor"/>
      </rPr>
      <t>c</t>
    </r>
    <r>
      <rPr>
        <vertAlign val="subscript"/>
        <sz val="11"/>
        <color theme="0" tint="-0.34998626667073579"/>
        <rFont val="Calibri"/>
        <family val="2"/>
        <scheme val="minor"/>
      </rPr>
      <t>r</t>
    </r>
    <r>
      <rPr>
        <sz val="11"/>
        <color theme="0" tint="-0.34998626667073579"/>
        <rFont val="Calibri"/>
        <family val="2"/>
        <scheme val="minor"/>
      </rPr>
      <t>/s</t>
    </r>
  </si>
  <si>
    <r>
      <t>c</t>
    </r>
    <r>
      <rPr>
        <vertAlign val="subscript"/>
        <sz val="11"/>
        <color theme="0" tint="-0.34998626667073579"/>
        <rFont val="Calibri"/>
        <family val="2"/>
        <scheme val="minor"/>
      </rPr>
      <t>c</t>
    </r>
    <r>
      <rPr>
        <sz val="11"/>
        <color theme="0" tint="-0.34998626667073579"/>
        <rFont val="Calibri"/>
        <family val="2"/>
        <scheme val="minor"/>
      </rPr>
      <t>/s</t>
    </r>
  </si>
  <si>
    <r>
      <t>l</t>
    </r>
    <r>
      <rPr>
        <vertAlign val="subscript"/>
        <sz val="11"/>
        <color theme="0" tint="-0.34998626667073579"/>
        <rFont val="Calibri"/>
        <family val="2"/>
        <scheme val="minor"/>
      </rPr>
      <t>c</t>
    </r>
  </si>
  <si>
    <r>
      <t>l</t>
    </r>
    <r>
      <rPr>
        <vertAlign val="subscript"/>
        <sz val="11"/>
        <color theme="0" tint="-0.34998626667073579"/>
        <rFont val="Calibri"/>
        <family val="2"/>
        <scheme val="minor"/>
      </rPr>
      <t>t</t>
    </r>
  </si>
  <si>
    <r>
      <rPr>
        <sz val="11"/>
        <color rgb="FF0000CC"/>
        <rFont val="Symbol"/>
        <family val="1"/>
        <charset val="2"/>
      </rPr>
      <t>h</t>
    </r>
    <r>
      <rPr>
        <vertAlign val="subscript"/>
        <sz val="11"/>
        <color rgb="FF0000CC"/>
        <rFont val="Calibri"/>
        <family val="2"/>
      </rPr>
      <t>MAC</t>
    </r>
  </si>
  <si>
    <t>MAC/s</t>
  </si>
  <si>
    <r>
      <t>x</t>
    </r>
    <r>
      <rPr>
        <vertAlign val="subscript"/>
        <sz val="11"/>
        <color rgb="FF0000CC"/>
        <rFont val="Calibri"/>
        <family val="2"/>
        <scheme val="minor"/>
      </rPr>
      <t>0</t>
    </r>
    <r>
      <rPr>
        <sz val="11"/>
        <color rgb="FF0000CC"/>
        <rFont val="Calibri"/>
        <family val="2"/>
        <scheme val="minor"/>
      </rPr>
      <t>/s</t>
    </r>
  </si>
  <si>
    <t>Tsls/
MTOW</t>
  </si>
  <si>
    <r>
      <rPr>
        <sz val="11"/>
        <color rgb="FFC00000"/>
        <rFont val="Symbol"/>
        <family val="1"/>
        <charset val="2"/>
      </rPr>
      <t>s</t>
    </r>
    <r>
      <rPr>
        <sz val="11"/>
        <color rgb="FFC00000"/>
        <rFont val="Calibri"/>
        <family val="2"/>
        <scheme val="minor"/>
      </rPr>
      <t xml:space="preserve"> (TO)</t>
    </r>
  </si>
  <si>
    <r>
      <rPr>
        <sz val="11"/>
        <color rgb="FFC00000"/>
        <rFont val="Symbol"/>
        <family val="1"/>
        <charset val="2"/>
      </rPr>
      <t>s</t>
    </r>
    <r>
      <rPr>
        <sz val="11"/>
        <color rgb="FFC00000"/>
        <rFont val="Calibri"/>
        <family val="2"/>
        <scheme val="minor"/>
      </rPr>
      <t xml:space="preserve"> (Land)</t>
    </r>
  </si>
  <si>
    <t>Neutral Pt</t>
  </si>
  <si>
    <t>Take-off</t>
  </si>
  <si>
    <t>Landing</t>
  </si>
  <si>
    <t>ST2</t>
  </si>
  <si>
    <t>ST3</t>
  </si>
  <si>
    <t>Stat Marg</t>
  </si>
  <si>
    <t>h=(Xcg-Xnwb)/MAC</t>
  </si>
  <si>
    <r>
      <t>S</t>
    </r>
    <r>
      <rPr>
        <vertAlign val="subscript"/>
        <sz val="11"/>
        <color rgb="FFC00000"/>
        <rFont val="Calibri"/>
        <family val="2"/>
      </rPr>
      <t>T</t>
    </r>
    <r>
      <rPr>
        <sz val="11"/>
        <color rgb="FFC00000"/>
        <rFont val="Calibri"/>
        <family val="2"/>
      </rPr>
      <t>/S</t>
    </r>
  </si>
  <si>
    <t>VA (MLW)</t>
  </si>
  <si>
    <t>VR (MTOW)</t>
  </si>
  <si>
    <r>
      <t>L</t>
    </r>
    <r>
      <rPr>
        <vertAlign val="subscript"/>
        <sz val="11"/>
        <color rgb="FFC00000"/>
        <rFont val="Calibri"/>
        <family val="2"/>
      </rPr>
      <t>T</t>
    </r>
    <r>
      <rPr>
        <sz val="11"/>
        <color rgb="FFC00000"/>
        <rFont val="Calibri"/>
        <family val="2"/>
      </rPr>
      <t>/s</t>
    </r>
  </si>
  <si>
    <t>HTP</t>
  </si>
  <si>
    <t>VTP</t>
  </si>
  <si>
    <t>Error</t>
  </si>
  <si>
    <t>Vol coeffs</t>
  </si>
  <si>
    <t>RRC (m/s)</t>
  </si>
  <si>
    <t>TOW/MTOW</t>
  </si>
  <si>
    <t>sfc lb/(lbf.h)</t>
  </si>
  <si>
    <r>
      <t>l</t>
    </r>
    <r>
      <rPr>
        <vertAlign val="subscript"/>
        <sz val="11"/>
        <color rgb="FF0000CC"/>
        <rFont val="Calibri"/>
        <family val="2"/>
        <scheme val="minor"/>
      </rPr>
      <t>w</t>
    </r>
  </si>
  <si>
    <r>
      <t>l</t>
    </r>
    <r>
      <rPr>
        <vertAlign val="subscript"/>
        <sz val="11"/>
        <color rgb="FFC00000"/>
        <rFont val="Symbol"/>
        <family val="1"/>
        <charset val="2"/>
      </rPr>
      <t>u</t>
    </r>
  </si>
  <si>
    <t>x/s</t>
  </si>
  <si>
    <t>eta_mac</t>
  </si>
  <si>
    <t>eta</t>
  </si>
  <si>
    <t>x_mac</t>
  </si>
  <si>
    <t>Xnwb</t>
  </si>
  <si>
    <t>W/(qS) (TO)</t>
  </si>
  <si>
    <t>Calculated values</t>
  </si>
  <si>
    <t>Moment arms</t>
  </si>
  <si>
    <t>Cruise Aerodynamics</t>
  </si>
  <si>
    <t>Vave (m/s)</t>
  </si>
  <si>
    <t>CD0 (TO)</t>
  </si>
  <si>
    <t>Low-speed Aerodynamics</t>
  </si>
  <si>
    <t>Design Point</t>
  </si>
  <si>
    <t>TSLS (kN)</t>
  </si>
  <si>
    <t>Wing span (m)</t>
  </si>
  <si>
    <t>W/S (Pa)</t>
  </si>
  <si>
    <r>
      <rPr>
        <sz val="11"/>
        <rFont val="Symbol"/>
        <family val="1"/>
        <charset val="2"/>
      </rPr>
      <t>h</t>
    </r>
    <r>
      <rPr>
        <vertAlign val="subscript"/>
        <sz val="11"/>
        <rFont val="Calibri"/>
        <family val="2"/>
      </rPr>
      <t>MAC</t>
    </r>
  </si>
  <si>
    <r>
      <t>L</t>
    </r>
    <r>
      <rPr>
        <vertAlign val="subscript"/>
        <sz val="11"/>
        <color rgb="FF000099"/>
        <rFont val="Calibri"/>
        <family val="2"/>
      </rPr>
      <t>½</t>
    </r>
    <r>
      <rPr>
        <sz val="11"/>
        <color rgb="FF000099"/>
        <rFont val="Calibri"/>
        <family val="2"/>
      </rPr>
      <t xml:space="preserve"> (deg)</t>
    </r>
  </si>
  <si>
    <r>
      <t>L</t>
    </r>
    <r>
      <rPr>
        <vertAlign val="subscript"/>
        <sz val="11"/>
        <color rgb="FF0000CC"/>
        <rFont val="Calibri"/>
        <family val="2"/>
        <scheme val="minor"/>
      </rPr>
      <t>TE</t>
    </r>
    <r>
      <rPr>
        <sz val="11"/>
        <color rgb="FF0000CC"/>
        <rFont val="Calibri"/>
        <family val="2"/>
        <scheme val="minor"/>
      </rPr>
      <t xml:space="preserve"> (deg)</t>
    </r>
  </si>
  <si>
    <r>
      <t>L</t>
    </r>
    <r>
      <rPr>
        <vertAlign val="subscript"/>
        <sz val="11"/>
        <color rgb="FF0000CC"/>
        <rFont val="Calibri"/>
        <family val="2"/>
        <scheme val="minor"/>
      </rPr>
      <t>LE</t>
    </r>
    <r>
      <rPr>
        <sz val="11"/>
        <color rgb="FF0000CC"/>
        <rFont val="Calibri"/>
        <family val="2"/>
        <scheme val="minor"/>
      </rPr>
      <t xml:space="preserve"> (deg)</t>
    </r>
  </si>
  <si>
    <r>
      <t>L</t>
    </r>
    <r>
      <rPr>
        <vertAlign val="subscript"/>
        <sz val="11"/>
        <color rgb="FFC00000"/>
        <rFont val="Calibri"/>
        <family val="2"/>
        <scheme val="minor"/>
      </rPr>
      <t>c</t>
    </r>
    <r>
      <rPr>
        <sz val="11"/>
        <color rgb="FFC00000"/>
        <rFont val="Calibri"/>
        <family val="2"/>
        <scheme val="minor"/>
      </rPr>
      <t xml:space="preserve"> (deg)</t>
    </r>
  </si>
  <si>
    <t>xn/s</t>
  </si>
  <si>
    <t>Pax</t>
  </si>
  <si>
    <t>First</t>
  </si>
  <si>
    <t>Business</t>
  </si>
  <si>
    <t>Economy</t>
  </si>
  <si>
    <t>No. abreast</t>
  </si>
  <si>
    <t>Actual pax</t>
  </si>
  <si>
    <t>Type A</t>
  </si>
  <si>
    <t>Type B</t>
  </si>
  <si>
    <t>Type II</t>
  </si>
  <si>
    <t>Type III</t>
  </si>
  <si>
    <t>Floor, 42" x 72"</t>
  </si>
  <si>
    <t>Floor, 32" x 72"</t>
  </si>
  <si>
    <t>Floor, 24" x 48"</t>
  </si>
  <si>
    <t>Type C</t>
  </si>
  <si>
    <t>Floor, 30" x 48"</t>
  </si>
  <si>
    <t>Floor/Overwing, 20" x 36"</t>
  </si>
  <si>
    <t>Floor/Overwing, 20" x 44"</t>
  </si>
  <si>
    <t>Type I</t>
  </si>
  <si>
    <t>Geometry</t>
  </si>
  <si>
    <t>Exits (per side)</t>
  </si>
  <si>
    <t>Lcab (m)</t>
  </si>
  <si>
    <t>Dcab (m)</t>
  </si>
  <si>
    <t>Aisles @ 23 in</t>
  </si>
  <si>
    <t>Seat width (in)</t>
  </si>
  <si>
    <t>Cabin length</t>
  </si>
  <si>
    <t>Lfuse (m)</t>
  </si>
  <si>
    <t>Nose cone</t>
  </si>
  <si>
    <t>Tail cone</t>
  </si>
  <si>
    <t>WCs required</t>
  </si>
  <si>
    <t>Attendants required</t>
  </si>
  <si>
    <t>Hold TAS (kt)</t>
  </si>
  <si>
    <t>Mmo</t>
  </si>
  <si>
    <t>Cruise Mach</t>
  </si>
  <si>
    <t>CD0 (cruise)</t>
  </si>
  <si>
    <t>k (cruise)</t>
  </si>
  <si>
    <t>Weight Estimation</t>
  </si>
  <si>
    <t>Working</t>
  </si>
  <si>
    <t>Aircraft Size</t>
  </si>
  <si>
    <r>
      <t>Sref (m</t>
    </r>
    <r>
      <rPr>
        <b/>
        <vertAlign val="superscript"/>
        <sz val="11"/>
        <color rgb="FFC00000"/>
        <rFont val="Calibri"/>
        <family val="2"/>
        <scheme val="minor"/>
      </rPr>
      <t>2</t>
    </r>
    <r>
      <rPr>
        <b/>
        <sz val="11"/>
        <color rgb="FFC00000"/>
        <rFont val="Calibri"/>
        <family val="2"/>
        <scheme val="minor"/>
      </rPr>
      <t>)</t>
    </r>
  </si>
  <si>
    <t>Hold/Turn</t>
  </si>
  <si>
    <t>Theta (climb, %)</t>
  </si>
  <si>
    <r>
      <t>Turn rate (</t>
    </r>
    <r>
      <rPr>
        <sz val="11"/>
        <color rgb="FFC00000"/>
        <rFont val="Calibri"/>
        <family val="2"/>
      </rPr>
      <t>°/s)</t>
    </r>
  </si>
  <si>
    <t>n</t>
  </si>
  <si>
    <t>MTOW/
S</t>
  </si>
  <si>
    <r>
      <rPr>
        <sz val="11"/>
        <color rgb="FFC00000"/>
        <rFont val="Symbol"/>
        <family val="1"/>
        <charset val="2"/>
      </rPr>
      <t>D</t>
    </r>
    <r>
      <rPr>
        <sz val="11"/>
        <color rgb="FFC00000"/>
        <rFont val="Calibri"/>
        <family val="2"/>
        <scheme val="minor"/>
      </rPr>
      <t>CD0 (TO flap)</t>
    </r>
  </si>
  <si>
    <t>CLmax (Land flap)</t>
  </si>
  <si>
    <r>
      <t>Chosen S</t>
    </r>
    <r>
      <rPr>
        <b/>
        <vertAlign val="subscript"/>
        <sz val="12"/>
        <color theme="1"/>
        <rFont val="Calibri"/>
        <family val="2"/>
        <scheme val="minor"/>
      </rPr>
      <t>T</t>
    </r>
    <r>
      <rPr>
        <b/>
        <sz val="12"/>
        <color theme="1"/>
        <rFont val="Calibri"/>
        <family val="2"/>
        <scheme val="minor"/>
      </rPr>
      <t>/S</t>
    </r>
    <r>
      <rPr>
        <b/>
        <vertAlign val="subscript"/>
        <sz val="12"/>
        <color theme="1"/>
        <rFont val="Calibri"/>
        <family val="2"/>
        <scheme val="minor"/>
      </rPr>
      <t>Ref</t>
    </r>
  </si>
  <si>
    <t>Fuse</t>
  </si>
  <si>
    <t>yf</t>
  </si>
  <si>
    <t>xf</t>
  </si>
  <si>
    <t>Wing</t>
  </si>
  <si>
    <t>yw</t>
  </si>
  <si>
    <t>xw</t>
  </si>
  <si>
    <t>Total pax coverage</t>
  </si>
  <si>
    <t>No.</t>
  </si>
  <si>
    <t>Overall</t>
  </si>
  <si>
    <t>Main Fuse</t>
  </si>
  <si>
    <t>See note on "Working" sheet regarding this chart!</t>
  </si>
  <si>
    <t>The chart on the "Inputs &amp; Sizing Chart" sheet automatically plots columns G, J, M, P and S against column D; and column W against column V.</t>
  </si>
  <si>
    <t>Working
values</t>
  </si>
  <si>
    <t>NOTES:</t>
  </si>
  <si>
    <t>Columns E, F, H, I, K, L, N, O, Q, R and U are also available for working.</t>
  </si>
  <si>
    <r>
      <t>r</t>
    </r>
    <r>
      <rPr>
        <sz val="11"/>
        <color theme="0" tint="-0.34998626667073579"/>
        <rFont val="Calibri"/>
        <family val="2"/>
        <scheme val="minor"/>
      </rPr>
      <t xml:space="preserve"> (kg/m</t>
    </r>
    <r>
      <rPr>
        <vertAlign val="superscript"/>
        <sz val="12"/>
        <color theme="0" tint="-0.34998626667073579"/>
        <rFont val="Calibri"/>
        <family val="2"/>
        <scheme val="minor"/>
      </rPr>
      <t>3</t>
    </r>
    <r>
      <rPr>
        <sz val="11"/>
        <color theme="0" tint="-0.34998626667073579"/>
        <rFont val="Calibri"/>
        <family val="2"/>
        <scheme val="minor"/>
      </rPr>
      <t>)</t>
    </r>
  </si>
  <si>
    <t>a (m/s)</t>
  </si>
  <si>
    <t>q1 (Pa)</t>
  </si>
  <si>
    <t>q2 (Pa)</t>
  </si>
  <si>
    <t>q3 (Pa)</t>
  </si>
  <si>
    <t>Please also populate column B with the working quantities indicated in column A.</t>
  </si>
  <si>
    <t>Input</t>
  </si>
  <si>
    <t>Chart</t>
  </si>
  <si>
    <r>
      <rPr>
        <sz val="11"/>
        <color rgb="FFC00000"/>
        <rFont val="Symbol"/>
        <family val="1"/>
        <charset val="2"/>
      </rPr>
      <t>D</t>
    </r>
    <r>
      <rPr>
        <sz val="11"/>
        <color rgb="FFC00000"/>
        <rFont val="Calibri"/>
        <family val="2"/>
        <scheme val="minor"/>
      </rPr>
      <t>CD0 (Land flap + gear)</t>
    </r>
  </si>
  <si>
    <t>CD (Land)</t>
  </si>
  <si>
    <t>HG</t>
  </si>
  <si>
    <t>Xtail</t>
  </si>
  <si>
    <t>Item</t>
  </si>
  <si>
    <t>Weight (kg)</t>
  </si>
  <si>
    <t>CG
%MAC</t>
  </si>
  <si>
    <t>Fuselage</t>
  </si>
  <si>
    <t>Tailplane</t>
  </si>
  <si>
    <t>Fin</t>
  </si>
  <si>
    <t>Main Landing Gear</t>
  </si>
  <si>
    <t>Nose Landing Gear</t>
  </si>
  <si>
    <t>Pylons</t>
  </si>
  <si>
    <t>Structure Group</t>
  </si>
  <si>
    <t>Equipped Engines</t>
  </si>
  <si>
    <t>Bleed Air System</t>
  </si>
  <si>
    <t>Engine Controls</t>
  </si>
  <si>
    <t>Fuel System</t>
  </si>
  <si>
    <t>Propulsion Group</t>
  </si>
  <si>
    <t>Auxiliary Power Unit</t>
  </si>
  <si>
    <t>Hydraulic Power Generation</t>
  </si>
  <si>
    <t>Hydraulic Distribution</t>
  </si>
  <si>
    <t>Air Conditioning</t>
  </si>
  <si>
    <t>De-Icing</t>
  </si>
  <si>
    <t>Fire protection</t>
  </si>
  <si>
    <t>Flight Controls</t>
  </si>
  <si>
    <t>Instruments</t>
  </si>
  <si>
    <t>Automatic Flight System</t>
  </si>
  <si>
    <t>Navigation</t>
  </si>
  <si>
    <t>Communications</t>
  </si>
  <si>
    <t>Electrical Generation</t>
  </si>
  <si>
    <t>Electronic Electrics</t>
  </si>
  <si>
    <t>Systems Group</t>
  </si>
  <si>
    <t>Trim &amp; Insulation</t>
  </si>
  <si>
    <t>Floor Covering</t>
  </si>
  <si>
    <t>Crew &amp; Cabin Seats</t>
  </si>
  <si>
    <t>Partitions &amp; Doors</t>
  </si>
  <si>
    <t>Toilets</t>
  </si>
  <si>
    <t>Hat Rack</t>
  </si>
  <si>
    <t>Miscellaneous</t>
  </si>
  <si>
    <t>Cargo Furnishing</t>
  </si>
  <si>
    <t>External Paint</t>
  </si>
  <si>
    <t>Fixed Emergency O2</t>
  </si>
  <si>
    <t>Lighting</t>
  </si>
  <si>
    <t>Water Installation</t>
  </si>
  <si>
    <t>Furnishing Group</t>
  </si>
  <si>
    <t>Manufacturers Weight Empty</t>
  </si>
  <si>
    <t>Unusable Fuel</t>
  </si>
  <si>
    <t>Galley Structure</t>
  </si>
  <si>
    <t>Passenger Seats (164)</t>
  </si>
  <si>
    <t>Emergency Equipment</t>
  </si>
  <si>
    <t>Water for Galleys/Toilets</t>
  </si>
  <si>
    <t>Fluid for Toilets</t>
  </si>
  <si>
    <t>Aircraft Documents</t>
  </si>
  <si>
    <t>Engine &amp; APU Oil</t>
  </si>
  <si>
    <t>Catering Equipment</t>
  </si>
  <si>
    <t>Crew</t>
  </si>
  <si>
    <t>Operating Items</t>
  </si>
  <si>
    <t>Operating Weight Empty</t>
  </si>
  <si>
    <t>Baggage - Fwd Hold</t>
  </si>
  <si>
    <t>Baggage - Aft Hold</t>
  </si>
  <si>
    <t>Payload</t>
  </si>
  <si>
    <t>Zero Fuel Weight</t>
  </si>
  <si>
    <t>Take-Off Weight</t>
  </si>
  <si>
    <t>EC2164 Weight &amp; Balance</t>
  </si>
  <si>
    <t>CG position
(%Lfuse)</t>
  </si>
  <si>
    <t>CG position
(%MAC)</t>
  </si>
  <si>
    <t>Weight Scale Factor</t>
  </si>
  <si>
    <t>CLmax (TO flap)</t>
  </si>
  <si>
    <t>S(LFL)</t>
  </si>
  <si>
    <t>D/L (climb)</t>
  </si>
  <si>
    <t>Payload/pax</t>
  </si>
  <si>
    <t>Dfuse (m)</t>
  </si>
  <si>
    <t>MAC (m)</t>
  </si>
  <si>
    <t>Sref (sq.m.)</t>
  </si>
  <si>
    <t>Stail (sq.m.)</t>
  </si>
  <si>
    <t>Sfin (sq.m.)</t>
  </si>
  <si>
    <t>Tsls (kN)</t>
  </si>
  <si>
    <t>Your Aircraft Weight &amp; Balance</t>
  </si>
  <si>
    <t>EC2164 data</t>
  </si>
  <si>
    <t>Orig</t>
  </si>
  <si>
    <t>Passengers &amp; cabin bags</t>
  </si>
  <si>
    <t>Seat pitch (in)</t>
  </si>
  <si>
    <t>Diff</t>
  </si>
  <si>
    <t>Seating layout planner - width</t>
  </si>
  <si>
    <t>Overall seating width (m)</t>
  </si>
  <si>
    <t>Seating layout planner - length</t>
  </si>
  <si>
    <t>Lnose (m)</t>
  </si>
  <si>
    <t>Cabin in nose (m)</t>
  </si>
  <si>
    <t>Cabin exits/amenities in nose (m)</t>
  </si>
  <si>
    <t>Seat rows per class (nose)</t>
  </si>
  <si>
    <t>Lcab check (m)</t>
  </si>
  <si>
    <t>Ltailcone (m)</t>
  </si>
  <si>
    <t>Cabin in tail (m)</t>
  </si>
  <si>
    <t>Cabin exits/amenities in tail (m)</t>
  </si>
  <si>
    <t>Seat rows per class (tailcone)</t>
  </si>
  <si>
    <t>Seat reduction for tailcone taper</t>
  </si>
  <si>
    <t>L main fuse (m)</t>
  </si>
  <si>
    <t>Amenities check</t>
  </si>
  <si>
    <t>Fuselage length</t>
  </si>
  <si>
    <t>Enough for Pax</t>
  </si>
  <si>
    <t>Seat rows per class (main fuse)</t>
  </si>
  <si>
    <t>Cabin exits/amentities in main fuse (m)</t>
  </si>
  <si>
    <t>Galleys required</t>
  </si>
  <si>
    <t>Manufacturer</t>
  </si>
  <si>
    <t>Type</t>
  </si>
  <si>
    <r>
      <t>List Price
(</t>
    </r>
    <r>
      <rPr>
        <sz val="11"/>
        <rFont val="Calibri"/>
        <family val="2"/>
        <scheme val="minor"/>
      </rPr>
      <t>$M,</t>
    </r>
    <r>
      <rPr>
        <sz val="11"/>
        <color rgb="FFFF0000"/>
        <rFont val="Calibri"/>
        <family val="2"/>
        <scheme val="minor"/>
      </rPr>
      <t xml:space="preserve"> 2018</t>
    </r>
    <r>
      <rPr>
        <sz val="11"/>
        <color theme="1"/>
        <rFont val="Calibri"/>
        <family val="2"/>
        <scheme val="minor"/>
      </rPr>
      <t>)</t>
    </r>
  </si>
  <si>
    <t>Entry into Service</t>
  </si>
  <si>
    <t>OWE 
kg</t>
  </si>
  <si>
    <t>MZFW 
kg</t>
  </si>
  <si>
    <t>MTOW
 kg</t>
  </si>
  <si>
    <t>MLW 
kg</t>
  </si>
  <si>
    <t>Max Payload 
kg</t>
  </si>
  <si>
    <t>Range 
nm</t>
  </si>
  <si>
    <t>Typical 2C Pax Capacity</t>
  </si>
  <si>
    <t>Static Thrust 
kN</t>
  </si>
  <si>
    <t>Wing Area 
m²</t>
  </si>
  <si>
    <t>Airbus</t>
  </si>
  <si>
    <t>A350-1000</t>
  </si>
  <si>
    <t>A321neo</t>
  </si>
  <si>
    <t>A320neo</t>
  </si>
  <si>
    <t>A350-900</t>
  </si>
  <si>
    <t>A380-800</t>
  </si>
  <si>
    <t>A318-100</t>
  </si>
  <si>
    <t>A340-500</t>
  </si>
  <si>
    <t>A340-600</t>
  </si>
  <si>
    <t>A330-200</t>
  </si>
  <si>
    <t>A319-100</t>
  </si>
  <si>
    <t>A330-300</t>
  </si>
  <si>
    <t>A340-300</t>
  </si>
  <si>
    <t>A321-200</t>
  </si>
  <si>
    <t>A340-200</t>
  </si>
  <si>
    <t>A320-200</t>
  </si>
  <si>
    <t>Boeing</t>
  </si>
  <si>
    <t>B737 MAX 9</t>
  </si>
  <si>
    <t>B787-10</t>
  </si>
  <si>
    <t>B737 MAX 8</t>
  </si>
  <si>
    <t>B787-9</t>
  </si>
  <si>
    <t>B747-8</t>
  </si>
  <si>
    <t>B787-8</t>
  </si>
  <si>
    <t>B737-900ER</t>
  </si>
  <si>
    <t>B777-200LR</t>
  </si>
  <si>
    <t>B777-300ER</t>
  </si>
  <si>
    <t>B747-400ER</t>
  </si>
  <si>
    <t>B767-400ER</t>
  </si>
  <si>
    <t>B717-200</t>
  </si>
  <si>
    <t>B737-600</t>
  </si>
  <si>
    <t>B737-700</t>
  </si>
  <si>
    <t>B757-300</t>
  </si>
  <si>
    <t>B777-300</t>
  </si>
  <si>
    <t>B737-900</t>
  </si>
  <si>
    <t>B777-200ER</t>
  </si>
  <si>
    <t>B737-800</t>
  </si>
  <si>
    <t>B777-200 GE</t>
  </si>
  <si>
    <t>B737-500</t>
  </si>
  <si>
    <t>B747-400</t>
  </si>
  <si>
    <t>B737-400</t>
  </si>
  <si>
    <t>B767-300ER</t>
  </si>
  <si>
    <t>B767-300</t>
  </si>
  <si>
    <t>B767-200ER GE</t>
  </si>
  <si>
    <t>B757-200 PW</t>
  </si>
  <si>
    <t>B767-200</t>
  </si>
  <si>
    <t>Bombardier</t>
  </si>
  <si>
    <t>CS-100</t>
  </si>
  <si>
    <t>CRJ-1000</t>
  </si>
  <si>
    <t>CRJ-700</t>
  </si>
  <si>
    <t>CRJ-900</t>
  </si>
  <si>
    <t>CRJ-705</t>
  </si>
  <si>
    <t>CRJ-200</t>
  </si>
  <si>
    <t>BAe-146/RJ 85</t>
  </si>
  <si>
    <t>Embraer</t>
  </si>
  <si>
    <t>E195</t>
  </si>
  <si>
    <t>E190</t>
  </si>
  <si>
    <t>E175</t>
  </si>
  <si>
    <t>E170</t>
  </si>
  <si>
    <t>ERJ 145 XR</t>
  </si>
  <si>
    <t>ERJ 135</t>
  </si>
  <si>
    <t>ERJ 140</t>
  </si>
  <si>
    <t>ERJ 145</t>
  </si>
  <si>
    <t>Fairchild Dornier</t>
  </si>
  <si>
    <t>Do 328-300JET</t>
  </si>
  <si>
    <t>Fokker</t>
  </si>
  <si>
    <t>Fokker 70</t>
  </si>
  <si>
    <t>Ilyushin</t>
  </si>
  <si>
    <t>IL96-400</t>
  </si>
  <si>
    <t>McDonnell Douglas</t>
  </si>
  <si>
    <t>MD11ER</t>
  </si>
  <si>
    <t>MD90-30</t>
  </si>
  <si>
    <t>MD11</t>
  </si>
  <si>
    <t>MD87</t>
  </si>
  <si>
    <t>MD83</t>
  </si>
  <si>
    <t>MD82</t>
  </si>
  <si>
    <t>DC9-50</t>
  </si>
  <si>
    <t>Sukhoi</t>
  </si>
  <si>
    <t>Superjet 100/95 LR</t>
  </si>
  <si>
    <t>Superjet 100/95</t>
  </si>
  <si>
    <t>Tupolev</t>
  </si>
  <si>
    <t>TU204-100</t>
  </si>
  <si>
    <t>BAe/Avro</t>
  </si>
  <si>
    <t>Tail Volume Coefficient</t>
  </si>
  <si>
    <r>
      <t>DX</t>
    </r>
    <r>
      <rPr>
        <vertAlign val="subscript"/>
        <sz val="10"/>
        <rFont val="Calibri"/>
        <family val="2"/>
        <scheme val="minor"/>
      </rPr>
      <t>wing</t>
    </r>
    <r>
      <rPr>
        <sz val="10"/>
        <rFont val="Calibri"/>
        <family val="2"/>
        <scheme val="minor"/>
      </rPr>
      <t xml:space="preserve"> (%Lfuse)</t>
    </r>
  </si>
  <si>
    <r>
      <t>MAC x</t>
    </r>
    <r>
      <rPr>
        <vertAlign val="subscript"/>
        <sz val="10"/>
        <rFont val="Calibri"/>
        <family val="2"/>
        <scheme val="minor"/>
      </rPr>
      <t>0</t>
    </r>
    <r>
      <rPr>
        <sz val="10"/>
        <rFont val="Calibri"/>
        <family val="2"/>
        <scheme val="minor"/>
      </rPr>
      <t xml:space="preserve"> (m)</t>
    </r>
  </si>
  <si>
    <r>
      <t xml:space="preserve">Fuel </t>
    </r>
    <r>
      <rPr>
        <sz val="10"/>
        <rFont val="Calibri"/>
        <family val="2"/>
        <scheme val="minor"/>
      </rPr>
      <t>(wing tanks only)</t>
    </r>
  </si>
  <si>
    <t>Take-off Alt (ft)</t>
  </si>
  <si>
    <t>Landing Alt (ft)</t>
  </si>
  <si>
    <t>Basic Aerodynamics</t>
  </si>
  <si>
    <t>Throttle %</t>
  </si>
  <si>
    <t>Take-off to V2</t>
  </si>
  <si>
    <t>No. engines</t>
  </si>
  <si>
    <t>Throttle % (after V2)</t>
  </si>
  <si>
    <t>Throttle % (up to V2)</t>
  </si>
  <si>
    <t>High-Lift Phases</t>
  </si>
  <si>
    <t>Induced drag factor K</t>
  </si>
  <si>
    <t>Normal cruise</t>
  </si>
  <si>
    <t>Mmo cruise</t>
  </si>
  <si>
    <t>High-Speed Phases</t>
  </si>
  <si>
    <t>High-Speed Mission Phases</t>
  </si>
  <si>
    <t>High-Lift Mission Phases</t>
  </si>
  <si>
    <t>Hold &amp; Turn</t>
  </si>
  <si>
    <t>Max operating Mach</t>
  </si>
  <si>
    <t>Residual climb at cruise altitude</t>
  </si>
  <si>
    <t>Overwing exits - additional seat spacing (m)</t>
  </si>
  <si>
    <t>L't/MAC</t>
  </si>
  <si>
    <r>
      <t>horizontal tail setting (</t>
    </r>
    <r>
      <rPr>
        <sz val="11"/>
        <color rgb="FFC00000"/>
        <rFont val="Calibri"/>
        <family val="2"/>
      </rPr>
      <t>°)</t>
    </r>
  </si>
  <si>
    <t xml:space="preserve">
MTOW/S</t>
  </si>
  <si>
    <t xml:space="preserve">Trust Loading </t>
  </si>
  <si>
    <t>Wing Loading (Pa)</t>
  </si>
  <si>
    <t>OWE</t>
  </si>
  <si>
    <t>(=)static trust/MTOW</t>
  </si>
  <si>
    <t>(=)MTOW/Wing Area</t>
  </si>
  <si>
    <t xml:space="preserve"> </t>
  </si>
  <si>
    <t xml:space="preserve">Avarage mass per person including luggage </t>
  </si>
  <si>
    <t>checked luggage</t>
  </si>
  <si>
    <t xml:space="preserve">kg per seat using the Mcdouglas with a similar mission to ours </t>
  </si>
  <si>
    <t>business</t>
  </si>
  <si>
    <t>eco</t>
  </si>
  <si>
    <t>%</t>
  </si>
  <si>
    <t>No Pax</t>
  </si>
  <si>
    <t xml:space="preserve">CL(cruise) </t>
  </si>
  <si>
    <t>rho</t>
  </si>
  <si>
    <t>q</t>
  </si>
  <si>
    <t xml:space="preserve">typical values of </t>
  </si>
  <si>
    <t>0.3~0.7</t>
  </si>
  <si>
    <t>so good</t>
  </si>
  <si>
    <t xml:space="preserve">5% allowance is put on the payload </t>
  </si>
  <si>
    <t>Thrust Loading</t>
  </si>
  <si>
    <t>Wing loading (Pa)</t>
  </si>
  <si>
    <t>pax weight</t>
  </si>
  <si>
    <t>luggage weight</t>
  </si>
  <si>
    <t>total pp</t>
  </si>
  <si>
    <t>check</t>
  </si>
  <si>
    <t>Type A exit</t>
  </si>
  <si>
    <t>, a gally+ toilet</t>
  </si>
  <si>
    <t>, toilet</t>
  </si>
  <si>
    <t>Type II exit (x2)</t>
  </si>
  <si>
    <r>
      <t xml:space="preserve">wing-body </t>
    </r>
    <r>
      <rPr>
        <i/>
        <sz val="11"/>
        <color theme="1"/>
        <rFont val="Calibri"/>
        <family val="2"/>
        <scheme val="minor"/>
      </rPr>
      <t>lift curve slope</t>
    </r>
    <r>
      <rPr>
        <sz val="11"/>
        <color theme="1"/>
        <rFont val="Calibri"/>
        <family val="2"/>
        <scheme val="minor"/>
      </rPr>
      <t xml:space="preserve"> (per rad) [a]</t>
    </r>
  </si>
  <si>
    <r>
      <t xml:space="preserve">horizontal tail </t>
    </r>
    <r>
      <rPr>
        <i/>
        <sz val="11"/>
        <color theme="1"/>
        <rFont val="Calibri"/>
        <family val="2"/>
        <scheme val="minor"/>
      </rPr>
      <t>lift curve slope</t>
    </r>
    <r>
      <rPr>
        <sz val="11"/>
        <color theme="1"/>
        <rFont val="Calibri"/>
        <family val="2"/>
        <scheme val="minor"/>
      </rPr>
      <t xml:space="preserve"> (per rad) [a_t]</t>
    </r>
  </si>
  <si>
    <r>
      <t xml:space="preserve">downwash at tail at </t>
    </r>
    <r>
      <rPr>
        <sz val="11"/>
        <color rgb="FF7030A0"/>
        <rFont val="Symbol"/>
        <family val="1"/>
        <charset val="2"/>
      </rPr>
      <t>a</t>
    </r>
    <r>
      <rPr>
        <sz val="11"/>
        <color rgb="FF7030A0"/>
        <rFont val="Calibri"/>
        <family val="2"/>
        <scheme val="minor"/>
      </rPr>
      <t xml:space="preserve"> = 0 (°) [E_o]</t>
    </r>
  </si>
  <si>
    <t>downwash gradient at tail [dE/da]</t>
  </si>
  <si>
    <t>kg</t>
  </si>
  <si>
    <t>%-passengers</t>
  </si>
  <si>
    <t>No. Pax</t>
  </si>
  <si>
    <t>Pax weight</t>
  </si>
  <si>
    <t>Luggage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</si>
</sst>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3" formatCode="_-* #,##0.00_-;\-* #,##0.00_-;_-* &quot;-&quot;??_-;_-@_-"/>
    <numFmt numFmtId="164" formatCode="0.0"/>
    <numFmt numFmtId="165" formatCode="0.0000"/>
    <numFmt numFmtId="166" formatCode="0.000"/>
    <numFmt numFmtId="167" formatCode="0.0%"/>
    <numFmt numFmtId="168" formatCode="0.00000"/>
    <numFmt numFmtId="169" formatCode="0.0000E+00"/>
    <numFmt numFmtId="170" formatCode="0.000\ &quot;K&quot;"/>
    <numFmt numFmtId="171" formatCode="0.000\ &quot;kg/m3&quot;"/>
    <numFmt numFmtId="172" formatCode="0.000E+00\ &quot;kg/(ms)&quot;"/>
    <numFmt numFmtId="173" formatCode="0.00000\ &quot;m/s2&quot;"/>
    <numFmt numFmtId="174" formatCode="0.000\ &quot;J/(kgK)&quot;"/>
    <numFmt numFmtId="175" formatCode="0.00\ &quot;K/km&quot;"/>
    <numFmt numFmtId="176" formatCode="0\ &quot;m&quot;"/>
    <numFmt numFmtId="177" formatCode="0\ &quot;°&quot;"/>
    <numFmt numFmtId="178" formatCode="0.0\ &quot;m/s&quot;"/>
    <numFmt numFmtId="179" formatCode="0.0\ &quot;°&quot;"/>
    <numFmt numFmtId="180" formatCode="0.00\ &quot;°&quot;"/>
    <numFmt numFmtId="181" formatCode="&quot;Mach&quot;\ 0.00"/>
    <numFmt numFmtId="182" formatCode="0\ &quot;ft&quot;"/>
    <numFmt numFmtId="183" formatCode="0\ &quot;kt&quot;"/>
    <numFmt numFmtId="184" formatCode="&quot;Cruise at Mach&quot;\ 0.00"/>
    <numFmt numFmtId="185" formatCode="0.00\ &quot;m&quot;"/>
    <numFmt numFmtId="186" formatCode="0.000E+00"/>
    <numFmt numFmtId="187" formatCode="&quot;Weights for ESAR @ &quot;\ 0\ &quot;ft&quot;"/>
    <numFmt numFmtId="188" formatCode="0\ &quot;°/s&quot;"/>
    <numFmt numFmtId="189" formatCode="&quot;Hold/Turn at &quot;\ 0\ &quot;ft&quot;"/>
    <numFmt numFmtId="190" formatCode="&quot;Cruise at Mmo&quot;\ 0.00"/>
    <numFmt numFmtId="191" formatCode="_(* #,##0_);_(* \(#,##0\);_(* &quot;-&quot;_);_(@_)"/>
    <numFmt numFmtId="192" formatCode="_-* #,##0_-;\-* #,##0_-;_-* &quot;-&quot;??_-;_-@_-"/>
    <numFmt numFmtId="193" formatCode="0.000000000000000%"/>
    <numFmt numFmtId="194" formatCode="&quot;   (&quot;0\ &quot;Type I exits)&quot;"/>
    <numFmt numFmtId="195" formatCode="&quot;   (&quot;0\ &quot;Type B exits)&quot;"/>
    <numFmt numFmtId="196" formatCode="0.000000"/>
  </numFmts>
  <fonts count="78">
    <font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11"/>
      <color rgb="FF0066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Symbol"/>
      <family val="1"/>
      <charset val="2"/>
    </font>
    <font>
      <sz val="11"/>
      <color rgb="FFFF006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Symbol"/>
      <family val="1"/>
      <charset val="2"/>
    </font>
    <font>
      <b/>
      <sz val="8"/>
      <name val="Arial"/>
      <family val="2"/>
    </font>
    <font>
      <b/>
      <sz val="8"/>
      <name val="Symbol"/>
      <family val="1"/>
      <charset val="2"/>
    </font>
    <font>
      <b/>
      <sz val="8"/>
      <name val="Arial"/>
      <family val="2"/>
    </font>
    <font>
      <b/>
      <vertAlign val="superscript"/>
      <sz val="8"/>
      <name val="Arial"/>
      <family val="2"/>
    </font>
    <font>
      <sz val="8"/>
      <name val="Arial"/>
      <family val="2"/>
    </font>
    <font>
      <sz val="8"/>
      <color rgb="FF0000CC"/>
      <name val="Arial"/>
      <family val="2"/>
    </font>
    <font>
      <sz val="8"/>
      <name val="Arial"/>
      <family val="2"/>
    </font>
    <font>
      <sz val="8"/>
      <name val="Symbol"/>
      <family val="1"/>
      <charset val="2"/>
    </font>
    <font>
      <sz val="9"/>
      <name val="Calibri"/>
      <family val="2"/>
      <scheme val="minor"/>
    </font>
    <font>
      <b/>
      <sz val="8"/>
      <color indexed="10"/>
      <name val="Arial"/>
      <family val="2"/>
    </font>
    <font>
      <b/>
      <sz val="8"/>
      <color indexed="12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</font>
    <font>
      <vertAlign val="subscript"/>
      <sz val="11"/>
      <color theme="0" tint="-0.34998626667073579"/>
      <name val="Calibri"/>
      <family val="2"/>
    </font>
    <font>
      <sz val="11"/>
      <color rgb="FFC00000"/>
      <name val="Calibri"/>
      <family val="2"/>
    </font>
    <font>
      <vertAlign val="subscript"/>
      <sz val="11"/>
      <color rgb="FFC00000"/>
      <name val="Symbol"/>
      <family val="1"/>
      <charset val="2"/>
    </font>
    <font>
      <vertAlign val="subscript"/>
      <sz val="11"/>
      <color rgb="FFC00000"/>
      <name val="Calibri"/>
      <family val="2"/>
    </font>
    <font>
      <vertAlign val="subscript"/>
      <sz val="11"/>
      <color rgb="FFC00000"/>
      <name val="Calibri"/>
      <family val="2"/>
      <scheme val="minor"/>
    </font>
    <font>
      <vertAlign val="superscript"/>
      <sz val="11"/>
      <color theme="0" tint="-0.34998626667073579"/>
      <name val="Calibri"/>
      <family val="2"/>
    </font>
    <font>
      <vertAlign val="subscript"/>
      <sz val="11"/>
      <color rgb="FF0000CC"/>
      <name val="Calibri"/>
      <family val="2"/>
      <scheme val="minor"/>
    </font>
    <font>
      <sz val="11"/>
      <color rgb="FF0000CC"/>
      <name val="Symbol"/>
      <family val="1"/>
      <charset val="2"/>
    </font>
    <font>
      <vertAlign val="subscript"/>
      <sz val="11"/>
      <color theme="0" tint="-0.34998626667073579"/>
      <name val="Calibri"/>
      <family val="2"/>
      <scheme val="minor"/>
    </font>
    <font>
      <sz val="11"/>
      <color rgb="FF0000CC"/>
      <name val="Calibri"/>
      <family val="2"/>
    </font>
    <font>
      <vertAlign val="subscript"/>
      <sz val="11"/>
      <color rgb="FF0000CC"/>
      <name val="Calibri"/>
      <family val="2"/>
    </font>
    <font>
      <b/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rgb="FF7030A0"/>
      <name val="Calibri"/>
      <family val="2"/>
      <scheme val="minor"/>
    </font>
    <font>
      <sz val="11"/>
      <color rgb="FF000099"/>
      <name val="Symbol"/>
      <family val="1"/>
      <charset val="2"/>
    </font>
    <font>
      <vertAlign val="subscript"/>
      <sz val="11"/>
      <color rgb="FF000099"/>
      <name val="Calibri"/>
      <family val="2"/>
    </font>
    <font>
      <sz val="11"/>
      <name val="Symbol"/>
      <family val="1"/>
      <charset val="2"/>
    </font>
    <font>
      <vertAlign val="subscript"/>
      <sz val="11"/>
      <name val="Calibri"/>
      <family val="2"/>
    </font>
    <font>
      <sz val="11"/>
      <color rgb="FF000099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vertAlign val="superscript"/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u/>
      <sz val="11"/>
      <color rgb="FF0000CC"/>
      <name val="Calibri"/>
      <family val="2"/>
      <scheme val="minor"/>
    </font>
    <font>
      <vertAlign val="superscript"/>
      <sz val="12"/>
      <color theme="0" tint="-0.34998626667073579"/>
      <name val="Calibri"/>
      <family val="2"/>
      <scheme val="minor"/>
    </font>
    <font>
      <sz val="11"/>
      <color rgb="FFC00000"/>
      <name val="Calibri"/>
      <family val="1"/>
      <charset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u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66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7030A0"/>
      <name val="Symbol"/>
      <family val="1"/>
      <charset val="2"/>
    </font>
    <font>
      <b/>
      <i/>
      <sz val="10"/>
      <name val="Calibri"/>
      <family val="2"/>
      <scheme val="minor"/>
    </font>
    <font>
      <sz val="10"/>
      <color rgb="FF222222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6">
    <xf numFmtId="0" fontId="0" fillId="0" borderId="0"/>
    <xf numFmtId="0" fontId="3" fillId="0" borderId="0"/>
    <xf numFmtId="9" fontId="4" fillId="0" borderId="0" applyFont="0" applyFill="0" applyBorder="0" applyAlignment="0" applyProtection="0"/>
    <xf numFmtId="0" fontId="27" fillId="0" borderId="0"/>
    <xf numFmtId="0" fontId="3" fillId="0" borderId="0"/>
    <xf numFmtId="0" fontId="75" fillId="0" borderId="0" applyNumberFormat="0" applyFill="0" applyBorder="0" applyAlignment="0" applyProtection="0"/>
  </cellStyleXfs>
  <cellXfs count="354">
    <xf numFmtId="0" fontId="0" fillId="0" borderId="0" xfId="0"/>
    <xf numFmtId="16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2" fillId="0" borderId="0" xfId="0" applyNumberFormat="1" applyFont="1"/>
    <xf numFmtId="165" fontId="7" fillId="0" borderId="0" xfId="0" applyNumberFormat="1" applyFont="1"/>
    <xf numFmtId="0" fontId="6" fillId="0" borderId="0" xfId="0" applyFont="1"/>
    <xf numFmtId="0" fontId="8" fillId="0" borderId="0" xfId="0" applyFont="1"/>
    <xf numFmtId="165" fontId="10" fillId="0" borderId="0" xfId="0" applyNumberFormat="1" applyFont="1"/>
    <xf numFmtId="0" fontId="11" fillId="0" borderId="0" xfId="0" applyFont="1"/>
    <xf numFmtId="0" fontId="5" fillId="0" borderId="0" xfId="0" applyFont="1"/>
    <xf numFmtId="165" fontId="11" fillId="0" borderId="0" xfId="0" applyNumberFormat="1" applyFont="1"/>
    <xf numFmtId="164" fontId="6" fillId="0" borderId="0" xfId="0" applyNumberFormat="1" applyFont="1"/>
    <xf numFmtId="166" fontId="6" fillId="0" borderId="0" xfId="0" applyNumberFormat="1" applyFont="1"/>
    <xf numFmtId="164" fontId="12" fillId="0" borderId="0" xfId="0" applyNumberFormat="1" applyFont="1"/>
    <xf numFmtId="0" fontId="14" fillId="0" borderId="0" xfId="0" applyFont="1"/>
    <xf numFmtId="0" fontId="15" fillId="0" borderId="0" xfId="1" applyFont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left" vertical="center" wrapText="1"/>
    </xf>
    <xf numFmtId="1" fontId="19" fillId="0" borderId="0" xfId="1" applyNumberFormat="1" applyFont="1" applyAlignment="1">
      <alignment horizontal="center"/>
    </xf>
    <xf numFmtId="168" fontId="19" fillId="0" borderId="0" xfId="1" applyNumberFormat="1" applyFont="1" applyAlignment="1">
      <alignment horizontal="center"/>
    </xf>
    <xf numFmtId="2" fontId="19" fillId="0" borderId="0" xfId="1" applyNumberFormat="1" applyFont="1" applyAlignment="1">
      <alignment horizontal="center"/>
    </xf>
    <xf numFmtId="169" fontId="19" fillId="0" borderId="0" xfId="1" applyNumberFormat="1" applyFont="1" applyAlignment="1">
      <alignment horizontal="center"/>
    </xf>
    <xf numFmtId="0" fontId="19" fillId="0" borderId="0" xfId="1" applyFont="1"/>
    <xf numFmtId="170" fontId="19" fillId="0" borderId="0" xfId="1" applyNumberFormat="1" applyFont="1" applyAlignment="1">
      <alignment horizontal="left"/>
    </xf>
    <xf numFmtId="1" fontId="20" fillId="2" borderId="0" xfId="1" applyNumberFormat="1" applyFont="1" applyFill="1" applyAlignment="1">
      <alignment horizontal="center"/>
    </xf>
    <xf numFmtId="168" fontId="20" fillId="2" borderId="0" xfId="1" applyNumberFormat="1" applyFont="1" applyFill="1" applyAlignment="1">
      <alignment horizontal="center"/>
    </xf>
    <xf numFmtId="2" fontId="20" fillId="2" borderId="0" xfId="1" applyNumberFormat="1" applyFont="1" applyFill="1" applyAlignment="1">
      <alignment horizontal="center"/>
    </xf>
    <xf numFmtId="169" fontId="20" fillId="2" borderId="0" xfId="1" applyNumberFormat="1" applyFont="1" applyFill="1" applyAlignment="1">
      <alignment horizontal="center"/>
    </xf>
    <xf numFmtId="0" fontId="21" fillId="0" borderId="0" xfId="1" applyFont="1"/>
    <xf numFmtId="171" fontId="19" fillId="0" borderId="0" xfId="1" applyNumberFormat="1" applyFont="1" applyAlignment="1">
      <alignment horizontal="left"/>
    </xf>
    <xf numFmtId="172" fontId="19" fillId="0" borderId="0" xfId="1" applyNumberFormat="1" applyFont="1" applyAlignment="1">
      <alignment horizontal="left"/>
    </xf>
    <xf numFmtId="0" fontId="23" fillId="0" borderId="0" xfId="1" applyFont="1"/>
    <xf numFmtId="173" fontId="19" fillId="0" borderId="0" xfId="1" applyNumberFormat="1" applyFont="1" applyAlignment="1">
      <alignment horizontal="left"/>
    </xf>
    <xf numFmtId="174" fontId="19" fillId="0" borderId="0" xfId="1" applyNumberFormat="1" applyFont="1" applyAlignment="1">
      <alignment horizontal="left"/>
    </xf>
    <xf numFmtId="175" fontId="19" fillId="0" borderId="0" xfId="1" applyNumberFormat="1" applyFont="1" applyAlignment="1">
      <alignment horizontal="left"/>
    </xf>
    <xf numFmtId="176" fontId="19" fillId="0" borderId="0" xfId="1" applyNumberFormat="1" applyFont="1" applyAlignment="1">
      <alignment horizontal="left"/>
    </xf>
    <xf numFmtId="0" fontId="19" fillId="0" borderId="0" xfId="1" applyFont="1" applyAlignment="1">
      <alignment horizontal="left"/>
    </xf>
    <xf numFmtId="0" fontId="21" fillId="0" borderId="0" xfId="1" applyFont="1" applyAlignment="1">
      <alignment horizontal="left"/>
    </xf>
    <xf numFmtId="0" fontId="24" fillId="0" borderId="0" xfId="1" applyFont="1"/>
    <xf numFmtId="0" fontId="25" fillId="0" borderId="0" xfId="1" applyFont="1"/>
    <xf numFmtId="0" fontId="24" fillId="0" borderId="0" xfId="1" applyFont="1" applyAlignment="1">
      <alignment horizontal="left"/>
    </xf>
    <xf numFmtId="0" fontId="25" fillId="0" borderId="0" xfId="1" applyFont="1" applyAlignment="1">
      <alignment horizontal="left"/>
    </xf>
    <xf numFmtId="0" fontId="17" fillId="0" borderId="0" xfId="1" applyFont="1"/>
    <xf numFmtId="0" fontId="17" fillId="0" borderId="0" xfId="1" applyFont="1" applyAlignment="1">
      <alignment horizontal="left"/>
    </xf>
    <xf numFmtId="1" fontId="19" fillId="3" borderId="0" xfId="1" applyNumberFormat="1" applyFont="1" applyFill="1" applyAlignment="1">
      <alignment horizontal="center"/>
    </xf>
    <xf numFmtId="2" fontId="19" fillId="3" borderId="0" xfId="1" applyNumberFormat="1" applyFont="1" applyFill="1" applyAlignment="1">
      <alignment horizontal="center"/>
    </xf>
    <xf numFmtId="168" fontId="19" fillId="3" borderId="0" xfId="1" applyNumberFormat="1" applyFont="1" applyFill="1" applyAlignment="1">
      <alignment horizontal="center"/>
    </xf>
    <xf numFmtId="169" fontId="19" fillId="3" borderId="0" xfId="1" applyNumberFormat="1" applyFont="1" applyFill="1" applyAlignment="1">
      <alignment horizontal="center"/>
    </xf>
    <xf numFmtId="165" fontId="0" fillId="0" borderId="0" xfId="0" applyNumberFormat="1"/>
    <xf numFmtId="166" fontId="0" fillId="0" borderId="0" xfId="0" applyNumberFormat="1"/>
    <xf numFmtId="179" fontId="0" fillId="0" borderId="0" xfId="0" applyNumberFormat="1"/>
    <xf numFmtId="166" fontId="1" fillId="0" borderId="0" xfId="0" applyNumberFormat="1" applyFont="1"/>
    <xf numFmtId="166" fontId="0" fillId="0" borderId="0" xfId="0" applyNumberFormat="1" applyAlignment="1">
      <alignment horizontal="left"/>
    </xf>
    <xf numFmtId="0" fontId="28" fillId="0" borderId="0" xfId="0" applyFont="1"/>
    <xf numFmtId="2" fontId="0" fillId="0" borderId="0" xfId="0" applyNumberFormat="1"/>
    <xf numFmtId="0" fontId="29" fillId="0" borderId="0" xfId="0" applyFont="1"/>
    <xf numFmtId="0" fontId="31" fillId="0" borderId="0" xfId="0" applyFont="1"/>
    <xf numFmtId="0" fontId="9" fillId="0" borderId="0" xfId="0" applyFont="1"/>
    <xf numFmtId="180" fontId="11" fillId="0" borderId="0" xfId="0" applyNumberFormat="1" applyFont="1"/>
    <xf numFmtId="0" fontId="11" fillId="0" borderId="0" xfId="0" applyFont="1" applyAlignment="1">
      <alignment horizontal="center"/>
    </xf>
    <xf numFmtId="0" fontId="37" fillId="0" borderId="0" xfId="0" applyFont="1"/>
    <xf numFmtId="180" fontId="1" fillId="0" borderId="0" xfId="0" applyNumberFormat="1" applyFont="1"/>
    <xf numFmtId="0" fontId="39" fillId="0" borderId="0" xfId="0" applyFont="1"/>
    <xf numFmtId="0" fontId="0" fillId="0" borderId="0" xfId="0" applyAlignment="1">
      <alignment vertical="top"/>
    </xf>
    <xf numFmtId="0" fontId="1" fillId="0" borderId="0" xfId="0" applyFont="1" applyAlignment="1">
      <alignment horizontal="right" vertical="top" wrapText="1"/>
    </xf>
    <xf numFmtId="0" fontId="2" fillId="0" borderId="0" xfId="0" applyFont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10" fillId="0" borderId="0" xfId="0" applyFont="1" applyAlignment="1">
      <alignment horizontal="right" vertical="top" wrapText="1"/>
    </xf>
    <xf numFmtId="0" fontId="0" fillId="0" borderId="0" xfId="0" applyAlignment="1">
      <alignment horizontal="right"/>
    </xf>
    <xf numFmtId="166" fontId="5" fillId="0" borderId="0" xfId="0" applyNumberFormat="1" applyFont="1"/>
    <xf numFmtId="0" fontId="42" fillId="0" borderId="0" xfId="0" applyFont="1"/>
    <xf numFmtId="0" fontId="44" fillId="0" borderId="0" xfId="0" applyFont="1"/>
    <xf numFmtId="0" fontId="45" fillId="0" borderId="0" xfId="0" applyFont="1" applyAlignment="1">
      <alignment horizontal="right" vertical="top" wrapText="1"/>
    </xf>
    <xf numFmtId="165" fontId="45" fillId="0" borderId="0" xfId="0" applyNumberFormat="1" applyFont="1"/>
    <xf numFmtId="0" fontId="46" fillId="0" borderId="0" xfId="0" applyFont="1"/>
    <xf numFmtId="185" fontId="8" fillId="0" borderId="0" xfId="0" applyNumberFormat="1" applyFont="1"/>
    <xf numFmtId="185" fontId="6" fillId="0" borderId="0" xfId="0" applyNumberFormat="1" applyFont="1"/>
    <xf numFmtId="10" fontId="11" fillId="0" borderId="0" xfId="2" applyNumberFormat="1" applyFont="1"/>
    <xf numFmtId="0" fontId="8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78" fontId="1" fillId="0" borderId="0" xfId="0" applyNumberFormat="1" applyFont="1"/>
    <xf numFmtId="186" fontId="11" fillId="0" borderId="0" xfId="0" applyNumberFormat="1" applyFont="1" applyAlignment="1">
      <alignment horizontal="left"/>
    </xf>
    <xf numFmtId="165" fontId="6" fillId="0" borderId="0" xfId="0" applyNumberFormat="1" applyFont="1"/>
    <xf numFmtId="165" fontId="11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/>
    <xf numFmtId="0" fontId="8" fillId="0" borderId="1" xfId="0" applyFont="1" applyBorder="1"/>
    <xf numFmtId="181" fontId="6" fillId="0" borderId="2" xfId="0" applyNumberFormat="1" applyFont="1" applyBorder="1"/>
    <xf numFmtId="0" fontId="8" fillId="0" borderId="3" xfId="0" applyFont="1" applyBorder="1"/>
    <xf numFmtId="182" fontId="6" fillId="0" borderId="4" xfId="0" applyNumberFormat="1" applyFont="1" applyBorder="1"/>
    <xf numFmtId="0" fontId="6" fillId="0" borderId="4" xfId="0" applyFont="1" applyBorder="1"/>
    <xf numFmtId="0" fontId="8" fillId="0" borderId="5" xfId="0" applyFont="1" applyBorder="1"/>
    <xf numFmtId="0" fontId="6" fillId="0" borderId="6" xfId="0" applyFont="1" applyBorder="1"/>
    <xf numFmtId="183" fontId="6" fillId="0" borderId="2" xfId="0" applyNumberFormat="1" applyFont="1" applyBorder="1"/>
    <xf numFmtId="0" fontId="0" fillId="0" borderId="4" xfId="0" applyBorder="1"/>
    <xf numFmtId="164" fontId="6" fillId="0" borderId="6" xfId="0" applyNumberFormat="1" applyFont="1" applyBorder="1"/>
    <xf numFmtId="2" fontId="6" fillId="0" borderId="2" xfId="0" applyNumberFormat="1" applyFont="1" applyBorder="1"/>
    <xf numFmtId="166" fontId="6" fillId="0" borderId="6" xfId="0" applyNumberFormat="1" applyFont="1" applyBorder="1"/>
    <xf numFmtId="0" fontId="0" fillId="0" borderId="2" xfId="0" applyBorder="1"/>
    <xf numFmtId="166" fontId="6" fillId="0" borderId="4" xfId="0" applyNumberFormat="1" applyFont="1" applyBorder="1"/>
    <xf numFmtId="0" fontId="6" fillId="0" borderId="2" xfId="0" applyFont="1" applyBorder="1"/>
    <xf numFmtId="164" fontId="6" fillId="0" borderId="2" xfId="0" applyNumberFormat="1" applyFont="1" applyBorder="1"/>
    <xf numFmtId="0" fontId="0" fillId="0" borderId="6" xfId="0" applyBorder="1"/>
    <xf numFmtId="0" fontId="41" fillId="0" borderId="7" xfId="0" applyFont="1" applyBorder="1"/>
    <xf numFmtId="1" fontId="13" fillId="0" borderId="8" xfId="0" applyNumberFormat="1" applyFont="1" applyBorder="1" applyAlignment="1">
      <alignment horizontal="right"/>
    </xf>
    <xf numFmtId="0" fontId="41" fillId="0" borderId="9" xfId="0" applyFont="1" applyBorder="1"/>
    <xf numFmtId="166" fontId="13" fillId="0" borderId="10" xfId="0" applyNumberFormat="1" applyFont="1" applyBorder="1" applyAlignment="1">
      <alignment horizontal="right"/>
    </xf>
    <xf numFmtId="2" fontId="5" fillId="0" borderId="12" xfId="0" applyNumberFormat="1" applyFont="1" applyBorder="1" applyAlignment="1">
      <alignment horizontal="right"/>
    </xf>
    <xf numFmtId="164" fontId="5" fillId="0" borderId="10" xfId="0" applyNumberFormat="1" applyFont="1" applyBorder="1" applyAlignment="1">
      <alignment horizontal="right"/>
    </xf>
    <xf numFmtId="0" fontId="41" fillId="0" borderId="11" xfId="0" applyFont="1" applyBorder="1"/>
    <xf numFmtId="0" fontId="0" fillId="0" borderId="0" xfId="0" applyAlignment="1">
      <alignment horizontal="center" wrapText="1"/>
    </xf>
    <xf numFmtId="0" fontId="12" fillId="0" borderId="0" xfId="0" applyFont="1" applyAlignment="1">
      <alignment horizontal="right" vertical="top" wrapText="1"/>
    </xf>
    <xf numFmtId="0" fontId="8" fillId="0" borderId="13" xfId="0" applyFont="1" applyBorder="1"/>
    <xf numFmtId="0" fontId="6" fillId="0" borderId="14" xfId="0" applyFont="1" applyBorder="1"/>
    <xf numFmtId="2" fontId="5" fillId="0" borderId="8" xfId="0" applyNumberFormat="1" applyFont="1" applyBorder="1" applyAlignment="1">
      <alignment horizontal="right"/>
    </xf>
    <xf numFmtId="0" fontId="11" fillId="0" borderId="0" xfId="0" applyFont="1" applyAlignment="1">
      <alignment vertical="top"/>
    </xf>
    <xf numFmtId="0" fontId="0" fillId="0" borderId="0" xfId="0" applyAlignment="1">
      <alignment horizontal="right" vertical="top" wrapText="1"/>
    </xf>
    <xf numFmtId="166" fontId="11" fillId="0" borderId="0" xfId="0" applyNumberFormat="1" applyFont="1" applyAlignment="1">
      <alignment horizontal="right"/>
    </xf>
    <xf numFmtId="165" fontId="11" fillId="0" borderId="0" xfId="0" applyNumberFormat="1" applyFont="1" applyAlignment="1">
      <alignment horizontal="right"/>
    </xf>
    <xf numFmtId="187" fontId="5" fillId="0" borderId="0" xfId="0" applyNumberFormat="1" applyFont="1"/>
    <xf numFmtId="0" fontId="8" fillId="0" borderId="0" xfId="0" applyFont="1" applyAlignment="1">
      <alignment horizontal="left"/>
    </xf>
    <xf numFmtId="0" fontId="56" fillId="0" borderId="0" xfId="0" applyFont="1"/>
    <xf numFmtId="1" fontId="8" fillId="0" borderId="0" xfId="0" applyNumberFormat="1" applyFont="1"/>
    <xf numFmtId="0" fontId="57" fillId="0" borderId="0" xfId="0" applyFont="1"/>
    <xf numFmtId="0" fontId="58" fillId="0" borderId="0" xfId="0" applyFont="1"/>
    <xf numFmtId="0" fontId="60" fillId="0" borderId="5" xfId="0" applyFont="1" applyBorder="1"/>
    <xf numFmtId="165" fontId="5" fillId="0" borderId="0" xfId="0" applyNumberFormat="1" applyFont="1" applyAlignment="1">
      <alignment horizontal="right"/>
    </xf>
    <xf numFmtId="0" fontId="5" fillId="7" borderId="0" xfId="0" applyFont="1" applyFill="1" applyAlignment="1">
      <alignment horizontal="left"/>
    </xf>
    <xf numFmtId="0" fontId="51" fillId="0" borderId="0" xfId="0" applyFont="1"/>
    <xf numFmtId="0" fontId="41" fillId="0" borderId="0" xfId="0" applyFont="1"/>
    <xf numFmtId="0" fontId="52" fillId="7" borderId="0" xfId="0" applyFont="1" applyFill="1"/>
    <xf numFmtId="0" fontId="5" fillId="7" borderId="3" xfId="0" applyFont="1" applyFill="1" applyBorder="1" applyAlignment="1">
      <alignment horizontal="left"/>
    </xf>
    <xf numFmtId="0" fontId="0" fillId="7" borderId="0" xfId="0" applyFill="1"/>
    <xf numFmtId="0" fontId="0" fillId="7" borderId="4" xfId="0" applyFill="1" applyBorder="1"/>
    <xf numFmtId="0" fontId="0" fillId="4" borderId="3" xfId="0" applyFill="1" applyBorder="1"/>
    <xf numFmtId="0" fontId="51" fillId="4" borderId="3" xfId="0" applyFont="1" applyFill="1" applyBorder="1"/>
    <xf numFmtId="166" fontId="51" fillId="0" borderId="0" xfId="0" applyNumberFormat="1" applyFont="1"/>
    <xf numFmtId="166" fontId="51" fillId="0" borderId="4" xfId="0" applyNumberFormat="1" applyFont="1" applyBorder="1"/>
    <xf numFmtId="0" fontId="0" fillId="4" borderId="0" xfId="0" applyFill="1"/>
    <xf numFmtId="2" fontId="0" fillId="0" borderId="3" xfId="0" applyNumberFormat="1" applyBorder="1"/>
    <xf numFmtId="0" fontId="5" fillId="4" borderId="4" xfId="0" applyFont="1" applyFill="1" applyBorder="1"/>
    <xf numFmtId="2" fontId="5" fillId="0" borderId="3" xfId="0" applyNumberFormat="1" applyFont="1" applyBorder="1"/>
    <xf numFmtId="0" fontId="5" fillId="4" borderId="0" xfId="0" applyFont="1" applyFill="1"/>
    <xf numFmtId="2" fontId="0" fillId="7" borderId="4" xfId="0" applyNumberFormat="1" applyFill="1" applyBorder="1"/>
    <xf numFmtId="0" fontId="52" fillId="7" borderId="3" xfId="0" applyFont="1" applyFill="1" applyBorder="1"/>
    <xf numFmtId="164" fontId="0" fillId="0" borderId="3" xfId="0" applyNumberFormat="1" applyBorder="1"/>
    <xf numFmtId="0" fontId="0" fillId="4" borderId="4" xfId="0" applyFill="1" applyBorder="1"/>
    <xf numFmtId="2" fontId="8" fillId="0" borderId="3" xfId="0" applyNumberFormat="1" applyFont="1" applyBorder="1"/>
    <xf numFmtId="1" fontId="0" fillId="0" borderId="4" xfId="0" applyNumberFormat="1" applyBorder="1"/>
    <xf numFmtId="2" fontId="56" fillId="0" borderId="3" xfId="0" applyNumberFormat="1" applyFont="1" applyBorder="1"/>
    <xf numFmtId="0" fontId="8" fillId="4" borderId="0" xfId="0" applyFont="1" applyFill="1"/>
    <xf numFmtId="0" fontId="8" fillId="4" borderId="4" xfId="0" applyFont="1" applyFill="1" applyBorder="1"/>
    <xf numFmtId="2" fontId="0" fillId="4" borderId="0" xfId="0" applyNumberFormat="1" applyFill="1"/>
    <xf numFmtId="1" fontId="0" fillId="7" borderId="4" xfId="0" applyNumberFormat="1" applyFill="1" applyBorder="1"/>
    <xf numFmtId="0" fontId="0" fillId="7" borderId="3" xfId="0" applyFill="1" applyBorder="1"/>
    <xf numFmtId="165" fontId="0" fillId="4" borderId="0" xfId="0" applyNumberFormat="1" applyFill="1"/>
    <xf numFmtId="2" fontId="11" fillId="4" borderId="4" xfId="2" applyNumberFormat="1" applyFont="1" applyFill="1" applyBorder="1"/>
    <xf numFmtId="2" fontId="5" fillId="0" borderId="5" xfId="0" applyNumberFormat="1" applyFont="1" applyBorder="1"/>
    <xf numFmtId="0" fontId="5" fillId="4" borderId="20" xfId="0" applyFont="1" applyFill="1" applyBorder="1"/>
    <xf numFmtId="2" fontId="11" fillId="0" borderId="6" xfId="2" applyNumberFormat="1" applyFont="1" applyBorder="1"/>
    <xf numFmtId="0" fontId="0" fillId="0" borderId="0" xfId="0" applyAlignment="1">
      <alignment vertical="top" wrapText="1"/>
    </xf>
    <xf numFmtId="191" fontId="0" fillId="0" borderId="0" xfId="0" applyNumberFormat="1"/>
    <xf numFmtId="3" fontId="0" fillId="8" borderId="0" xfId="0" applyNumberFormat="1" applyFill="1"/>
    <xf numFmtId="3" fontId="0" fillId="9" borderId="0" xfId="0" applyNumberFormat="1" applyFill="1"/>
    <xf numFmtId="3" fontId="0" fillId="10" borderId="0" xfId="0" applyNumberFormat="1" applyFill="1"/>
    <xf numFmtId="0" fontId="0" fillId="0" borderId="0" xfId="0" applyAlignment="1">
      <alignment wrapText="1"/>
    </xf>
    <xf numFmtId="2" fontId="1" fillId="0" borderId="0" xfId="0" applyNumberFormat="1" applyFont="1"/>
    <xf numFmtId="192" fontId="0" fillId="0" borderId="0" xfId="0" applyNumberFormat="1"/>
    <xf numFmtId="0" fontId="0" fillId="0" borderId="0" xfId="0" applyAlignment="1">
      <alignment horizontal="left" vertical="top" wrapText="1"/>
    </xf>
    <xf numFmtId="2" fontId="0" fillId="0" borderId="0" xfId="0" applyNumberFormat="1" applyAlignment="1">
      <alignment horizontal="left"/>
    </xf>
    <xf numFmtId="176" fontId="0" fillId="0" borderId="4" xfId="0" applyNumberFormat="1" applyBorder="1"/>
    <xf numFmtId="176" fontId="11" fillId="0" borderId="6" xfId="0" applyNumberFormat="1" applyFont="1" applyBorder="1"/>
    <xf numFmtId="2" fontId="5" fillId="0" borderId="0" xfId="0" applyNumberFormat="1" applyFont="1" applyAlignment="1">
      <alignment horizontal="right"/>
    </xf>
    <xf numFmtId="0" fontId="61" fillId="0" borderId="0" xfId="1" applyFont="1"/>
    <xf numFmtId="0" fontId="65" fillId="0" borderId="0" xfId="1" applyFont="1"/>
    <xf numFmtId="0" fontId="61" fillId="0" borderId="0" xfId="1" applyFont="1" applyAlignment="1">
      <alignment horizontal="right"/>
    </xf>
    <xf numFmtId="0" fontId="65" fillId="0" borderId="15" xfId="1" applyFont="1" applyBorder="1" applyAlignment="1">
      <alignment horizontal="center" vertical="center" wrapText="1"/>
    </xf>
    <xf numFmtId="166" fontId="65" fillId="0" borderId="14" xfId="1" applyNumberFormat="1" applyFont="1" applyBorder="1" applyAlignment="1">
      <alignment horizontal="center" vertical="center" wrapText="1"/>
    </xf>
    <xf numFmtId="0" fontId="61" fillId="0" borderId="0" xfId="1" applyFont="1" applyAlignment="1">
      <alignment horizontal="center" vertical="center" wrapText="1"/>
    </xf>
    <xf numFmtId="9" fontId="61" fillId="0" borderId="0" xfId="2" applyFont="1" applyAlignment="1">
      <alignment vertical="center"/>
    </xf>
    <xf numFmtId="166" fontId="65" fillId="0" borderId="0" xfId="1" applyNumberFormat="1" applyFont="1" applyAlignment="1">
      <alignment horizontal="center" vertical="center" wrapText="1"/>
    </xf>
    <xf numFmtId="0" fontId="61" fillId="0" borderId="16" xfId="1" applyFont="1" applyBorder="1"/>
    <xf numFmtId="166" fontId="61" fillId="0" borderId="16" xfId="1" applyNumberFormat="1" applyFont="1" applyBorder="1"/>
    <xf numFmtId="167" fontId="61" fillId="0" borderId="16" xfId="2" applyNumberFormat="1" applyFont="1" applyBorder="1"/>
    <xf numFmtId="167" fontId="61" fillId="0" borderId="16" xfId="1" applyNumberFormat="1" applyFont="1" applyBorder="1"/>
    <xf numFmtId="166" fontId="61" fillId="0" borderId="0" xfId="1" applyNumberFormat="1" applyFont="1"/>
    <xf numFmtId="0" fontId="61" fillId="0" borderId="17" xfId="1" applyFont="1" applyBorder="1"/>
    <xf numFmtId="167" fontId="61" fillId="0" borderId="4" xfId="1" applyNumberFormat="1" applyFont="1" applyBorder="1" applyAlignment="1">
      <alignment horizontal="center"/>
    </xf>
    <xf numFmtId="166" fontId="61" fillId="0" borderId="17" xfId="1" applyNumberFormat="1" applyFont="1" applyBorder="1"/>
    <xf numFmtId="1" fontId="61" fillId="0" borderId="17" xfId="1" applyNumberFormat="1" applyFont="1" applyBorder="1"/>
    <xf numFmtId="167" fontId="61" fillId="0" borderId="17" xfId="2" applyNumberFormat="1" applyFont="1" applyBorder="1"/>
    <xf numFmtId="167" fontId="61" fillId="0" borderId="17" xfId="1" applyNumberFormat="1" applyFont="1" applyBorder="1"/>
    <xf numFmtId="167" fontId="61" fillId="4" borderId="17" xfId="1" applyNumberFormat="1" applyFont="1" applyFill="1" applyBorder="1"/>
    <xf numFmtId="0" fontId="67" fillId="0" borderId="0" xfId="1" applyFont="1" applyAlignment="1">
      <alignment horizontal="left"/>
    </xf>
    <xf numFmtId="166" fontId="65" fillId="0" borderId="0" xfId="1" applyNumberFormat="1" applyFont="1"/>
    <xf numFmtId="0" fontId="68" fillId="0" borderId="15" xfId="1" applyFont="1" applyBorder="1"/>
    <xf numFmtId="167" fontId="68" fillId="0" borderId="15" xfId="1" applyNumberFormat="1" applyFont="1" applyBorder="1" applyAlignment="1">
      <alignment horizontal="center"/>
    </xf>
    <xf numFmtId="166" fontId="68" fillId="4" borderId="15" xfId="1" applyNumberFormat="1" applyFont="1" applyFill="1" applyBorder="1"/>
    <xf numFmtId="1" fontId="68" fillId="0" borderId="15" xfId="1" applyNumberFormat="1" applyFont="1" applyBorder="1"/>
    <xf numFmtId="167" fontId="65" fillId="4" borderId="4" xfId="1" applyNumberFormat="1" applyFont="1" applyFill="1" applyBorder="1" applyAlignment="1">
      <alignment horizontal="center"/>
    </xf>
    <xf numFmtId="166" fontId="61" fillId="4" borderId="17" xfId="1" applyNumberFormat="1" applyFont="1" applyFill="1" applyBorder="1"/>
    <xf numFmtId="166" fontId="68" fillId="0" borderId="15" xfId="1" applyNumberFormat="1" applyFont="1" applyBorder="1"/>
    <xf numFmtId="0" fontId="65" fillId="0" borderId="0" xfId="1" applyFont="1" applyAlignment="1">
      <alignment horizontal="right"/>
    </xf>
    <xf numFmtId="167" fontId="65" fillId="0" borderId="4" xfId="1" applyNumberFormat="1" applyFont="1" applyBorder="1" applyAlignment="1">
      <alignment horizontal="center"/>
    </xf>
    <xf numFmtId="1" fontId="61" fillId="4" borderId="17" xfId="1" applyNumberFormat="1" applyFont="1" applyFill="1" applyBorder="1"/>
    <xf numFmtId="0" fontId="61" fillId="6" borderId="16" xfId="1" applyFont="1" applyFill="1" applyBorder="1"/>
    <xf numFmtId="167" fontId="65" fillId="6" borderId="2" xfId="1" applyNumberFormat="1" applyFont="1" applyFill="1" applyBorder="1" applyAlignment="1">
      <alignment horizontal="center"/>
    </xf>
    <xf numFmtId="166" fontId="61" fillId="6" borderId="16" xfId="1" applyNumberFormat="1" applyFont="1" applyFill="1" applyBorder="1"/>
    <xf numFmtId="1" fontId="61" fillId="6" borderId="16" xfId="1" applyNumberFormat="1" applyFont="1" applyFill="1" applyBorder="1"/>
    <xf numFmtId="167" fontId="61" fillId="6" borderId="16" xfId="1" applyNumberFormat="1" applyFont="1" applyFill="1" applyBorder="1"/>
    <xf numFmtId="0" fontId="65" fillId="0" borderId="17" xfId="1" applyFont="1" applyBorder="1"/>
    <xf numFmtId="166" fontId="65" fillId="4" borderId="17" xfId="1" applyNumberFormat="1" applyFont="1" applyFill="1" applyBorder="1"/>
    <xf numFmtId="1" fontId="65" fillId="0" borderId="17" xfId="1" applyNumberFormat="1" applyFont="1" applyBorder="1"/>
    <xf numFmtId="0" fontId="65" fillId="4" borderId="17" xfId="1" applyFont="1" applyFill="1" applyBorder="1"/>
    <xf numFmtId="0" fontId="61" fillId="6" borderId="18" xfId="1" applyFont="1" applyFill="1" applyBorder="1"/>
    <xf numFmtId="167" fontId="65" fillId="6" borderId="6" xfId="1" applyNumberFormat="1" applyFont="1" applyFill="1" applyBorder="1" applyAlignment="1">
      <alignment horizontal="center"/>
    </xf>
    <xf numFmtId="166" fontId="61" fillId="6" borderId="18" xfId="1" applyNumberFormat="1" applyFont="1" applyFill="1" applyBorder="1"/>
    <xf numFmtId="1" fontId="61" fillId="6" borderId="18" xfId="1" applyNumberFormat="1" applyFont="1" applyFill="1" applyBorder="1"/>
    <xf numFmtId="167" fontId="61" fillId="6" borderId="18" xfId="1" applyNumberFormat="1" applyFont="1" applyFill="1" applyBorder="1"/>
    <xf numFmtId="0" fontId="63" fillId="0" borderId="0" xfId="1" applyFont="1"/>
    <xf numFmtId="0" fontId="63" fillId="0" borderId="17" xfId="1" applyFont="1" applyBorder="1"/>
    <xf numFmtId="167" fontId="61" fillId="6" borderId="4" xfId="1" applyNumberFormat="1" applyFont="1" applyFill="1" applyBorder="1" applyAlignment="1">
      <alignment horizontal="center"/>
    </xf>
    <xf numFmtId="166" fontId="61" fillId="6" borderId="17" xfId="1" applyNumberFormat="1" applyFont="1" applyFill="1" applyBorder="1"/>
    <xf numFmtId="1" fontId="63" fillId="0" borderId="17" xfId="1" applyNumberFormat="1" applyFont="1" applyBorder="1" applyAlignment="1">
      <alignment horizontal="right"/>
    </xf>
    <xf numFmtId="0" fontId="61" fillId="6" borderId="17" xfId="1" applyFont="1" applyFill="1" applyBorder="1"/>
    <xf numFmtId="167" fontId="61" fillId="6" borderId="17" xfId="1" applyNumberFormat="1" applyFont="1" applyFill="1" applyBorder="1"/>
    <xf numFmtId="167" fontId="68" fillId="4" borderId="15" xfId="1" applyNumberFormat="1" applyFont="1" applyFill="1" applyBorder="1"/>
    <xf numFmtId="0" fontId="61" fillId="6" borderId="19" xfId="1" applyFont="1" applyFill="1" applyBorder="1"/>
    <xf numFmtId="166" fontId="61" fillId="6" borderId="19" xfId="1" applyNumberFormat="1" applyFont="1" applyFill="1" applyBorder="1"/>
    <xf numFmtId="1" fontId="61" fillId="6" borderId="19" xfId="1" applyNumberFormat="1" applyFont="1" applyFill="1" applyBorder="1"/>
    <xf numFmtId="167" fontId="61" fillId="6" borderId="2" xfId="1" applyNumberFormat="1" applyFont="1" applyFill="1" applyBorder="1"/>
    <xf numFmtId="0" fontId="65" fillId="6" borderId="18" xfId="1" applyFont="1" applyFill="1" applyBorder="1"/>
    <xf numFmtId="0" fontId="65" fillId="6" borderId="20" xfId="1" applyFont="1" applyFill="1" applyBorder="1"/>
    <xf numFmtId="0" fontId="65" fillId="6" borderId="6" xfId="1" applyFont="1" applyFill="1" applyBorder="1"/>
    <xf numFmtId="167" fontId="61" fillId="0" borderId="0" xfId="1" applyNumberFormat="1" applyFont="1" applyAlignment="1">
      <alignment horizontal="center"/>
    </xf>
    <xf numFmtId="167" fontId="61" fillId="4" borderId="17" xfId="2" applyNumberFormat="1" applyFont="1" applyFill="1" applyBorder="1"/>
    <xf numFmtId="193" fontId="61" fillId="0" borderId="0" xfId="2" applyNumberFormat="1" applyFont="1"/>
    <xf numFmtId="0" fontId="65" fillId="0" borderId="0" xfId="1" applyFont="1" applyAlignment="1">
      <alignment horizontal="left"/>
    </xf>
    <xf numFmtId="0" fontId="61" fillId="0" borderId="0" xfId="1" applyFont="1" applyAlignment="1">
      <alignment horizontal="left"/>
    </xf>
    <xf numFmtId="1" fontId="65" fillId="0" borderId="0" xfId="1" applyNumberFormat="1" applyFont="1" applyAlignment="1">
      <alignment horizontal="left"/>
    </xf>
    <xf numFmtId="0" fontId="63" fillId="0" borderId="0" xfId="1" applyFont="1" applyAlignment="1">
      <alignment horizontal="left"/>
    </xf>
    <xf numFmtId="1" fontId="63" fillId="0" borderId="0" xfId="1" applyNumberFormat="1" applyFont="1" applyAlignment="1">
      <alignment horizontal="left"/>
    </xf>
    <xf numFmtId="0" fontId="70" fillId="0" borderId="0" xfId="1" applyFont="1" applyAlignment="1">
      <alignment horizontal="left"/>
    </xf>
    <xf numFmtId="167" fontId="65" fillId="11" borderId="17" xfId="2" applyNumberFormat="1" applyFont="1" applyFill="1" applyBorder="1"/>
    <xf numFmtId="2" fontId="5" fillId="4" borderId="20" xfId="0" applyNumberFormat="1" applyFont="1" applyFill="1" applyBorder="1"/>
    <xf numFmtId="0" fontId="0" fillId="4" borderId="1" xfId="0" applyFill="1" applyBorder="1" applyAlignment="1">
      <alignment horizontal="right"/>
    </xf>
    <xf numFmtId="0" fontId="0" fillId="4" borderId="2" xfId="0" applyFill="1" applyBorder="1"/>
    <xf numFmtId="0" fontId="0" fillId="0" borderId="3" xfId="0" applyBorder="1" applyAlignment="1">
      <alignment horizontal="right"/>
    </xf>
    <xf numFmtId="0" fontId="0" fillId="0" borderId="0" xfId="0" applyBorder="1"/>
    <xf numFmtId="0" fontId="0" fillId="12" borderId="19" xfId="0" applyFill="1" applyBorder="1"/>
    <xf numFmtId="0" fontId="0" fillId="12" borderId="0" xfId="0" applyFill="1"/>
    <xf numFmtId="0" fontId="0" fillId="12" borderId="4" xfId="0" applyFill="1" applyBorder="1"/>
    <xf numFmtId="182" fontId="6" fillId="0" borderId="2" xfId="0" applyNumberFormat="1" applyFont="1" applyBorder="1"/>
    <xf numFmtId="9" fontId="6" fillId="0" borderId="4" xfId="2" applyFont="1" applyBorder="1"/>
    <xf numFmtId="166" fontId="11" fillId="0" borderId="4" xfId="0" applyNumberFormat="1" applyFont="1" applyBorder="1"/>
    <xf numFmtId="188" fontId="6" fillId="0" borderId="6" xfId="0" applyNumberFormat="1" applyFont="1" applyBorder="1"/>
    <xf numFmtId="1" fontId="6" fillId="0" borderId="4" xfId="0" applyNumberFormat="1" applyFont="1" applyBorder="1"/>
    <xf numFmtId="167" fontId="6" fillId="0" borderId="6" xfId="2" applyNumberFormat="1" applyFont="1" applyBorder="1"/>
    <xf numFmtId="0" fontId="71" fillId="0" borderId="0" xfId="0" applyFont="1"/>
    <xf numFmtId="0" fontId="45" fillId="0" borderId="0" xfId="0" applyFont="1"/>
    <xf numFmtId="179" fontId="45" fillId="0" borderId="0" xfId="0" applyNumberFormat="1" applyFont="1"/>
    <xf numFmtId="179" fontId="8" fillId="0" borderId="0" xfId="0" applyNumberFormat="1" applyFont="1"/>
    <xf numFmtId="0" fontId="2" fillId="0" borderId="0" xfId="0" applyFont="1"/>
    <xf numFmtId="177" fontId="2" fillId="0" borderId="0" xfId="0" applyNumberFormat="1" applyFont="1"/>
    <xf numFmtId="0" fontId="73" fillId="0" borderId="17" xfId="1" applyFont="1" applyBorder="1"/>
    <xf numFmtId="167" fontId="73" fillId="0" borderId="4" xfId="1" applyNumberFormat="1" applyFont="1" applyBorder="1" applyAlignment="1">
      <alignment horizontal="center"/>
    </xf>
    <xf numFmtId="166" fontId="73" fillId="4" borderId="17" xfId="1" applyNumberFormat="1" applyFont="1" applyFill="1" applyBorder="1"/>
    <xf numFmtId="1" fontId="73" fillId="0" borderId="17" xfId="1" applyNumberFormat="1" applyFont="1" applyBorder="1"/>
    <xf numFmtId="0" fontId="73" fillId="4" borderId="17" xfId="1" applyFont="1" applyFill="1" applyBorder="1"/>
    <xf numFmtId="167" fontId="68" fillId="12" borderId="15" xfId="2" applyNumberFormat="1" applyFont="1" applyFill="1" applyBorder="1"/>
    <xf numFmtId="167" fontId="68" fillId="12" borderId="15" xfId="1" applyNumberFormat="1" applyFont="1" applyFill="1" applyBorder="1"/>
    <xf numFmtId="0" fontId="61" fillId="12" borderId="17" xfId="1" applyFont="1" applyFill="1" applyBorder="1"/>
    <xf numFmtId="167" fontId="61" fillId="12" borderId="17" xfId="1" applyNumberFormat="1" applyFont="1" applyFill="1" applyBorder="1"/>
    <xf numFmtId="167" fontId="73" fillId="12" borderId="17" xfId="2" applyNumberFormat="1" applyFont="1" applyFill="1" applyBorder="1"/>
    <xf numFmtId="167" fontId="69" fillId="5" borderId="15" xfId="2" applyNumberFormat="1" applyFont="1" applyFill="1" applyBorder="1"/>
    <xf numFmtId="167" fontId="69" fillId="5" borderId="15" xfId="1" applyNumberFormat="1" applyFont="1" applyFill="1" applyBorder="1"/>
    <xf numFmtId="0" fontId="0" fillId="0" borderId="0" xfId="0" applyFill="1"/>
    <xf numFmtId="0" fontId="5" fillId="0" borderId="0" xfId="0" applyFont="1" applyFill="1"/>
    <xf numFmtId="2" fontId="11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187" fontId="5" fillId="0" borderId="0" xfId="0" applyNumberFormat="1" applyFont="1" applyAlignment="1">
      <alignment horizontal="right"/>
    </xf>
    <xf numFmtId="1" fontId="11" fillId="0" borderId="0" xfId="0" applyNumberFormat="1" applyFont="1" applyAlignment="1">
      <alignment horizontal="right"/>
    </xf>
    <xf numFmtId="0" fontId="0" fillId="0" borderId="4" xfId="0" applyBorder="1" applyAlignment="1">
      <alignment horizontal="right"/>
    </xf>
    <xf numFmtId="1" fontId="0" fillId="0" borderId="4" xfId="0" applyNumberFormat="1" applyBorder="1" applyAlignment="1">
      <alignment horizontal="right"/>
    </xf>
    <xf numFmtId="0" fontId="0" fillId="0" borderId="6" xfId="0" applyBorder="1" applyAlignment="1">
      <alignment horizontal="right"/>
    </xf>
    <xf numFmtId="1" fontId="13" fillId="0" borderId="12" xfId="0" applyNumberFormat="1" applyFont="1" applyBorder="1" applyAlignment="1">
      <alignment horizontal="right"/>
    </xf>
    <xf numFmtId="1" fontId="13" fillId="0" borderId="10" xfId="0" applyNumberFormat="1" applyFont="1" applyBorder="1" applyAlignment="1">
      <alignment horizontal="right"/>
    </xf>
    <xf numFmtId="0" fontId="0" fillId="11" borderId="0" xfId="0" applyFill="1"/>
    <xf numFmtId="0" fontId="0" fillId="13" borderId="0" xfId="0" applyFill="1" applyAlignment="1">
      <alignment horizontal="left"/>
    </xf>
    <xf numFmtId="0" fontId="0" fillId="13" borderId="0" xfId="0" applyFill="1"/>
    <xf numFmtId="43" fontId="0" fillId="0" borderId="0" xfId="0" applyNumberFormat="1"/>
    <xf numFmtId="0" fontId="0" fillId="0" borderId="0" xfId="0" applyNumberFormat="1"/>
    <xf numFmtId="2" fontId="0" fillId="0" borderId="0" xfId="0" applyNumberFormat="1" applyBorder="1" applyAlignment="1">
      <alignment horizontal="left"/>
    </xf>
    <xf numFmtId="191" fontId="0" fillId="0" borderId="0" xfId="0" applyNumberFormat="1" applyBorder="1"/>
    <xf numFmtId="3" fontId="0" fillId="9" borderId="0" xfId="0" applyNumberFormat="1" applyFill="1" applyBorder="1"/>
    <xf numFmtId="0" fontId="0" fillId="13" borderId="0" xfId="0" applyFill="1" applyBorder="1" applyAlignment="1">
      <alignment horizontal="left"/>
    </xf>
    <xf numFmtId="0" fontId="0" fillId="11" borderId="21" xfId="0" applyFill="1" applyBorder="1"/>
    <xf numFmtId="0" fontId="0" fillId="13" borderId="22" xfId="0" applyFill="1" applyBorder="1" applyAlignment="1">
      <alignment horizontal="left"/>
    </xf>
    <xf numFmtId="2" fontId="0" fillId="0" borderId="22" xfId="0" applyNumberFormat="1" applyBorder="1" applyAlignment="1">
      <alignment horizontal="left"/>
    </xf>
    <xf numFmtId="191" fontId="0" fillId="0" borderId="22" xfId="0" applyNumberFormat="1" applyBorder="1"/>
    <xf numFmtId="3" fontId="0" fillId="9" borderId="22" xfId="0" applyNumberFormat="1" applyFill="1" applyBorder="1"/>
    <xf numFmtId="0" fontId="0" fillId="11" borderId="24" xfId="0" applyFill="1" applyBorder="1"/>
    <xf numFmtId="0" fontId="0" fillId="11" borderId="26" xfId="0" applyFill="1" applyBorder="1"/>
    <xf numFmtId="0" fontId="0" fillId="13" borderId="27" xfId="0" applyFill="1" applyBorder="1" applyAlignment="1">
      <alignment horizontal="left"/>
    </xf>
    <xf numFmtId="2" fontId="0" fillId="0" borderId="27" xfId="0" applyNumberFormat="1" applyBorder="1" applyAlignment="1">
      <alignment horizontal="left"/>
    </xf>
    <xf numFmtId="191" fontId="0" fillId="0" borderId="27" xfId="0" applyNumberFormat="1" applyBorder="1"/>
    <xf numFmtId="3" fontId="0" fillId="9" borderId="27" xfId="0" applyNumberFormat="1" applyFill="1" applyBorder="1"/>
    <xf numFmtId="0" fontId="0" fillId="0" borderId="23" xfId="0" applyBorder="1"/>
    <xf numFmtId="0" fontId="0" fillId="0" borderId="25" xfId="0" applyBorder="1"/>
    <xf numFmtId="0" fontId="0" fillId="0" borderId="28" xfId="0" applyBorder="1"/>
    <xf numFmtId="0" fontId="74" fillId="0" borderId="0" xfId="0" applyFont="1"/>
    <xf numFmtId="0" fontId="11" fillId="0" borderId="0" xfId="0" applyNumberFormat="1" applyFont="1"/>
    <xf numFmtId="0" fontId="75" fillId="0" borderId="0" xfId="5"/>
    <xf numFmtId="2" fontId="0" fillId="0" borderId="2" xfId="0" applyNumberFormat="1" applyBorder="1" applyAlignment="1">
      <alignment horizontal="right"/>
    </xf>
    <xf numFmtId="0" fontId="0" fillId="0" borderId="0" xfId="0" applyAlignment="1">
      <alignment vertical="center" wrapText="1"/>
    </xf>
    <xf numFmtId="2" fontId="51" fillId="0" borderId="4" xfId="0" applyNumberFormat="1" applyFont="1" applyBorder="1"/>
    <xf numFmtId="2" fontId="56" fillId="0" borderId="0" xfId="0" applyNumberFormat="1" applyFont="1"/>
    <xf numFmtId="0" fontId="76" fillId="4" borderId="0" xfId="0" applyFont="1" applyFill="1" applyAlignment="1">
      <alignment horizontal="center"/>
    </xf>
    <xf numFmtId="196" fontId="11" fillId="0" borderId="0" xfId="0" applyNumberFormat="1" applyFont="1"/>
    <xf numFmtId="196" fontId="0" fillId="0" borderId="0" xfId="0" applyNumberFormat="1"/>
    <xf numFmtId="0" fontId="0" fillId="0" borderId="15" xfId="0" applyBorder="1"/>
    <xf numFmtId="2" fontId="0" fillId="0" borderId="15" xfId="0" applyNumberFormat="1" applyBorder="1"/>
    <xf numFmtId="167" fontId="61" fillId="0" borderId="19" xfId="1" applyNumberFormat="1" applyFont="1" applyBorder="1" applyAlignment="1">
      <alignment horizontal="center"/>
    </xf>
    <xf numFmtId="167" fontId="61" fillId="0" borderId="0" xfId="1" applyNumberFormat="1" applyFont="1" applyBorder="1" applyAlignment="1">
      <alignment horizontal="center"/>
    </xf>
    <xf numFmtId="167" fontId="61" fillId="4" borderId="0" xfId="1" applyNumberFormat="1" applyFont="1" applyFill="1" applyBorder="1" applyAlignment="1">
      <alignment horizontal="center"/>
    </xf>
    <xf numFmtId="1" fontId="61" fillId="0" borderId="2" xfId="1" applyNumberFormat="1" applyFont="1" applyBorder="1"/>
    <xf numFmtId="1" fontId="61" fillId="0" borderId="4" xfId="1" applyNumberFormat="1" applyFont="1" applyBorder="1"/>
    <xf numFmtId="0" fontId="65" fillId="0" borderId="16" xfId="1" applyFont="1" applyBorder="1" applyAlignment="1">
      <alignment horizontal="center" vertical="center" wrapText="1"/>
    </xf>
    <xf numFmtId="166" fontId="68" fillId="4" borderId="18" xfId="1" applyNumberFormat="1" applyFont="1" applyFill="1" applyBorder="1"/>
    <xf numFmtId="166" fontId="61" fillId="0" borderId="18" xfId="1" applyNumberFormat="1" applyFont="1" applyBorder="1"/>
    <xf numFmtId="9" fontId="61" fillId="0" borderId="17" xfId="1" applyNumberFormat="1" applyFont="1" applyBorder="1"/>
    <xf numFmtId="0" fontId="0" fillId="0" borderId="15" xfId="0" applyBorder="1" applyAlignment="1">
      <alignment horizontal="center" wrapText="1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 vertical="top"/>
    </xf>
    <xf numFmtId="184" fontId="1" fillId="0" borderId="0" xfId="0" applyNumberFormat="1" applyFont="1" applyAlignment="1">
      <alignment horizontal="center"/>
    </xf>
    <xf numFmtId="189" fontId="2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90" fontId="45" fillId="0" borderId="0" xfId="0" applyNumberFormat="1" applyFont="1" applyAlignment="1">
      <alignment horizontal="center"/>
    </xf>
    <xf numFmtId="0" fontId="0" fillId="0" borderId="0" xfId="0" applyAlignment="1">
      <alignment horizontal="center" wrapText="1"/>
    </xf>
    <xf numFmtId="194" fontId="0" fillId="0" borderId="0" xfId="0" applyNumberFormat="1" applyAlignment="1">
      <alignment horizontal="left"/>
    </xf>
    <xf numFmtId="194" fontId="0" fillId="0" borderId="4" xfId="0" applyNumberFormat="1" applyBorder="1" applyAlignment="1">
      <alignment horizontal="left"/>
    </xf>
    <xf numFmtId="195" fontId="0" fillId="0" borderId="0" xfId="0" applyNumberFormat="1" applyAlignment="1">
      <alignment horizontal="left"/>
    </xf>
    <xf numFmtId="195" fontId="0" fillId="0" borderId="4" xfId="0" applyNumberFormat="1" applyBorder="1" applyAlignment="1">
      <alignment horizontal="left"/>
    </xf>
    <xf numFmtId="0" fontId="0" fillId="0" borderId="0" xfId="0" applyAlignment="1">
      <alignment horizontal="center"/>
    </xf>
    <xf numFmtId="0" fontId="65" fillId="0" borderId="0" xfId="1" applyFont="1" applyAlignment="1">
      <alignment horizontal="center" vertical="center" wrapText="1"/>
    </xf>
    <xf numFmtId="0" fontId="61" fillId="0" borderId="0" xfId="1" applyFont="1"/>
    <xf numFmtId="0" fontId="64" fillId="5" borderId="20" xfId="1" applyFont="1" applyFill="1" applyBorder="1" applyAlignment="1">
      <alignment horizontal="center"/>
    </xf>
  </cellXfs>
  <cellStyles count="6">
    <cellStyle name="Hyperlink" xfId="5" builtinId="8"/>
    <cellStyle name="Normal" xfId="0" builtinId="0"/>
    <cellStyle name="Normal 2" xfId="1" xr:uid="{00000000-0005-0000-0000-000002000000}"/>
    <cellStyle name="Normal 3" xfId="3" xr:uid="{00000000-0005-0000-0000-000003000000}"/>
    <cellStyle name="Normal 3 2" xfId="4" xr:uid="{00000000-0005-0000-0000-000004000000}"/>
    <cellStyle name="Percent" xfId="2" builtinId="5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06600"/>
      <color rgb="FF0000CC"/>
      <color rgb="FF00CC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/>
              <a:t>Historical data of exsiting aircraft's weight</a:t>
            </a:r>
          </a:p>
        </c:rich>
      </c:tx>
      <c:layout>
        <c:manualLayout>
          <c:xMode val="edge"/>
          <c:yMode val="edge"/>
          <c:x val="0.35561307771842882"/>
          <c:y val="1.3468013468013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86058778227631"/>
          <c:y val="9.8709403748773822E-2"/>
          <c:w val="0.81254446132424063"/>
          <c:h val="0.7201495267637000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2.7861636562953155E-2"/>
                  <c:y val="-4.802000760006009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4197152021698442E-2"/>
                  <c:y val="1.272462154351918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aseline="0"/>
                      <a:t>y = 0.4469x + 5025</a:t>
                    </a:r>
                    <a:endParaRPr lang="en-US" sz="20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Market!$S$5:$S$21</c:f>
              <c:numCache>
                <c:formatCode>_(* #,##0_);_(* \(#,##0\);_(* "-"_);_(@_)</c:formatCode>
                <c:ptCount val="17"/>
                <c:pt idx="0">
                  <c:v>38330</c:v>
                </c:pt>
                <c:pt idx="1">
                  <c:v>34019</c:v>
                </c:pt>
                <c:pt idx="2">
                  <c:v>41730</c:v>
                </c:pt>
                <c:pt idx="3">
                  <c:v>42184</c:v>
                </c:pt>
                <c:pt idx="4">
                  <c:v>37500</c:v>
                </c:pt>
                <c:pt idx="5">
                  <c:v>36514</c:v>
                </c:pt>
                <c:pt idx="6">
                  <c:v>45880</c:v>
                </c:pt>
                <c:pt idx="7">
                  <c:v>41640</c:v>
                </c:pt>
                <c:pt idx="8">
                  <c:v>54880</c:v>
                </c:pt>
                <c:pt idx="9">
                  <c:v>47790</c:v>
                </c:pt>
                <c:pt idx="10">
                  <c:v>61915</c:v>
                </c:pt>
                <c:pt idx="11">
                  <c:v>48790</c:v>
                </c:pt>
                <c:pt idx="12">
                  <c:v>63800</c:v>
                </c:pt>
                <c:pt idx="13">
                  <c:v>54400</c:v>
                </c:pt>
                <c:pt idx="14">
                  <c:v>75580</c:v>
                </c:pt>
                <c:pt idx="15">
                  <c:v>68266</c:v>
                </c:pt>
              </c:numCache>
            </c:numRef>
          </c:xVal>
          <c:yVal>
            <c:numRef>
              <c:f>Market!$AB$5:$AB$23</c:f>
              <c:numCache>
                <c:formatCode>_(* #,##0_);_(* \(#,##0\);_(* "-"_);_(@_)</c:formatCode>
                <c:ptCount val="19"/>
                <c:pt idx="0">
                  <c:v>21433</c:v>
                </c:pt>
                <c:pt idx="1">
                  <c:v>19731</c:v>
                </c:pt>
                <c:pt idx="2">
                  <c:v>22673</c:v>
                </c:pt>
                <c:pt idx="3">
                  <c:v>24600</c:v>
                </c:pt>
                <c:pt idx="4">
                  <c:v>21870</c:v>
                </c:pt>
                <c:pt idx="5">
                  <c:v>21432</c:v>
                </c:pt>
                <c:pt idx="6">
                  <c:v>24250</c:v>
                </c:pt>
                <c:pt idx="7">
                  <c:v>23179</c:v>
                </c:pt>
                <c:pt idx="8">
                  <c:v>31130</c:v>
                </c:pt>
                <c:pt idx="9">
                  <c:v>27737</c:v>
                </c:pt>
                <c:pt idx="10">
                  <c:v>31311</c:v>
                </c:pt>
                <c:pt idx="11">
                  <c:v>28567</c:v>
                </c:pt>
                <c:pt idx="12">
                  <c:v>35310</c:v>
                </c:pt>
                <c:pt idx="13">
                  <c:v>29300</c:v>
                </c:pt>
                <c:pt idx="14">
                  <c:v>38737</c:v>
                </c:pt>
                <c:pt idx="15">
                  <c:v>33643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6-42A2-8A8E-0E9422701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268264"/>
        <c:axId val="394268592"/>
      </c:scatterChart>
      <c:valAx>
        <c:axId val="39426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400"/>
                  <a:t>MTOW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859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39426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  <a:r>
                  <a:rPr lang="en-GB" sz="2400"/>
                  <a:t>OWE (kg)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8264"/>
        <c:crossesAt val="0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74599008457275"/>
          <c:y val="7.0368512134187031E-2"/>
          <c:w val="0.80108235853324772"/>
          <c:h val="0.772806232241607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Working!$E$1</c:f>
              <c:strCache>
                <c:ptCount val="1"/>
                <c:pt idx="0">
                  <c:v>Cruise at Mach 0.78</c:v>
                </c:pt>
              </c:strCache>
            </c:strRef>
          </c:tx>
          <c:spPr>
            <a:ln w="19050" cap="rnd">
              <a:solidFill>
                <a:srgbClr val="0066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600"/>
              </a:solidFill>
              <a:ln w="9525">
                <a:solidFill>
                  <a:srgbClr val="006600"/>
                </a:solidFill>
              </a:ln>
              <a:effectLst/>
            </c:spPr>
          </c:marker>
          <c:xVal>
            <c:numRef>
              <c:f>Working!$D$3:$D$15</c:f>
              <c:numCache>
                <c:formatCode>General</c:formatCode>
                <c:ptCount val="13"/>
                <c:pt idx="0">
                  <c:v>4000</c:v>
                </c:pt>
                <c:pt idx="1">
                  <c:v>4500</c:v>
                </c:pt>
                <c:pt idx="2">
                  <c:v>5000</c:v>
                </c:pt>
                <c:pt idx="3">
                  <c:v>5500</c:v>
                </c:pt>
                <c:pt idx="4">
                  <c:v>6000</c:v>
                </c:pt>
                <c:pt idx="5">
                  <c:v>6500</c:v>
                </c:pt>
                <c:pt idx="6">
                  <c:v>7000</c:v>
                </c:pt>
                <c:pt idx="7">
                  <c:v>7500</c:v>
                </c:pt>
                <c:pt idx="8">
                  <c:v>8000</c:v>
                </c:pt>
                <c:pt idx="9">
                  <c:v>8500</c:v>
                </c:pt>
                <c:pt idx="10">
                  <c:v>9000</c:v>
                </c:pt>
                <c:pt idx="11">
                  <c:v>9500</c:v>
                </c:pt>
                <c:pt idx="12">
                  <c:v>10000</c:v>
                </c:pt>
              </c:numCache>
            </c:numRef>
          </c:xVal>
          <c:yVal>
            <c:numRef>
              <c:f>Working!$G$3:$G$15</c:f>
              <c:numCache>
                <c:formatCode>0.0000</c:formatCode>
                <c:ptCount val="13"/>
                <c:pt idx="0">
                  <c:v>0.27174883229385777</c:v>
                </c:pt>
                <c:pt idx="1">
                  <c:v>0.26221827995818447</c:v>
                </c:pt>
                <c:pt idx="2">
                  <c:v>0.25645854323518319</c:v>
                </c:pt>
                <c:pt idx="3">
                  <c:v>0.2534412178668522</c:v>
                </c:pt>
                <c:pt idx="4">
                  <c:v>0.25248070101452419</c:v>
                </c:pt>
                <c:pt idx="5">
                  <c:v>0.25310234455912139</c:v>
                </c:pt>
                <c:pt idx="6">
                  <c:v>0.25496711412987416</c:v>
                </c:pt>
                <c:pt idx="7">
                  <c:v>0.25782638452155143</c:v>
                </c:pt>
                <c:pt idx="8">
                  <c:v>0.26149368683022983</c:v>
                </c:pt>
                <c:pt idx="9">
                  <c:v>0.26582642718820321</c:v>
                </c:pt>
                <c:pt idx="10">
                  <c:v>0.27071369925392247</c:v>
                </c:pt>
                <c:pt idx="11">
                  <c:v>0.27606794538932244</c:v>
                </c:pt>
                <c:pt idx="12">
                  <c:v>0.28181911948395111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19-4825-868F-30ACBBA76131}"/>
            </c:ext>
          </c:extLst>
        </c:ser>
        <c:ser>
          <c:idx val="6"/>
          <c:order val="1"/>
          <c:tx>
            <c:strRef>
              <c:f>Working!$H$1</c:f>
              <c:strCache>
                <c:ptCount val="1"/>
                <c:pt idx="0">
                  <c:v>Cruise at Mmo 0.82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Working!$D$3:$D$15</c:f>
              <c:numCache>
                <c:formatCode>General</c:formatCode>
                <c:ptCount val="13"/>
                <c:pt idx="0">
                  <c:v>4000</c:v>
                </c:pt>
                <c:pt idx="1">
                  <c:v>4500</c:v>
                </c:pt>
                <c:pt idx="2">
                  <c:v>5000</c:v>
                </c:pt>
                <c:pt idx="3">
                  <c:v>5500</c:v>
                </c:pt>
                <c:pt idx="4">
                  <c:v>6000</c:v>
                </c:pt>
                <c:pt idx="5">
                  <c:v>6500</c:v>
                </c:pt>
                <c:pt idx="6">
                  <c:v>7000</c:v>
                </c:pt>
                <c:pt idx="7">
                  <c:v>7500</c:v>
                </c:pt>
                <c:pt idx="8">
                  <c:v>8000</c:v>
                </c:pt>
                <c:pt idx="9">
                  <c:v>8500</c:v>
                </c:pt>
                <c:pt idx="10">
                  <c:v>9000</c:v>
                </c:pt>
                <c:pt idx="11">
                  <c:v>9500</c:v>
                </c:pt>
                <c:pt idx="12">
                  <c:v>10000</c:v>
                </c:pt>
              </c:numCache>
            </c:numRef>
          </c:xVal>
          <c:yVal>
            <c:numRef>
              <c:f>Working!$J$3:$J$15</c:f>
              <c:numCache>
                <c:formatCode>0.0000</c:formatCode>
                <c:ptCount val="13"/>
                <c:pt idx="0">
                  <c:v>0.27024697585205243</c:v>
                </c:pt>
                <c:pt idx="1">
                  <c:v>0.25630894110196661</c:v>
                </c:pt>
                <c:pt idx="2">
                  <c:v>0.24657990027859561</c:v>
                </c:pt>
                <c:pt idx="3">
                  <c:v>0.23991194594738074</c:v>
                </c:pt>
                <c:pt idx="4">
                  <c:v>0.23553980648528303</c:v>
                </c:pt>
                <c:pt idx="5">
                  <c:v>0.23293367846096769</c:v>
                </c:pt>
                <c:pt idx="6">
                  <c:v>0.23171513085205281</c:v>
                </c:pt>
                <c:pt idx="7">
                  <c:v>0.23160664757545832</c:v>
                </c:pt>
                <c:pt idx="8">
                  <c:v>0.23240009156887409</c:v>
                </c:pt>
                <c:pt idx="9">
                  <c:v>0.23393629919641604</c:v>
                </c:pt>
                <c:pt idx="10">
                  <c:v>0.23609147651906306</c:v>
                </c:pt>
                <c:pt idx="11">
                  <c:v>0.23876789147969332</c:v>
                </c:pt>
                <c:pt idx="12">
                  <c:v>0.24188735843260939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19-4825-868F-30ACBBA76131}"/>
            </c:ext>
          </c:extLst>
        </c:ser>
        <c:ser>
          <c:idx val="1"/>
          <c:order val="2"/>
          <c:tx>
            <c:strRef>
              <c:f>Working!$K$1</c:f>
              <c:strCache>
                <c:ptCount val="1"/>
                <c:pt idx="0">
                  <c:v>Hold/Turn at  1500 ft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Working!$D$3:$D$15</c:f>
              <c:numCache>
                <c:formatCode>General</c:formatCode>
                <c:ptCount val="13"/>
                <c:pt idx="0">
                  <c:v>4000</c:v>
                </c:pt>
                <c:pt idx="1">
                  <c:v>4500</c:v>
                </c:pt>
                <c:pt idx="2">
                  <c:v>5000</c:v>
                </c:pt>
                <c:pt idx="3">
                  <c:v>5500</c:v>
                </c:pt>
                <c:pt idx="4">
                  <c:v>6000</c:v>
                </c:pt>
                <c:pt idx="5">
                  <c:v>6500</c:v>
                </c:pt>
                <c:pt idx="6">
                  <c:v>7000</c:v>
                </c:pt>
                <c:pt idx="7">
                  <c:v>7500</c:v>
                </c:pt>
                <c:pt idx="8">
                  <c:v>8000</c:v>
                </c:pt>
                <c:pt idx="9">
                  <c:v>8500</c:v>
                </c:pt>
                <c:pt idx="10">
                  <c:v>9000</c:v>
                </c:pt>
                <c:pt idx="11">
                  <c:v>9500</c:v>
                </c:pt>
                <c:pt idx="12">
                  <c:v>10000</c:v>
                </c:pt>
              </c:numCache>
            </c:numRef>
          </c:xVal>
          <c:yVal>
            <c:numRef>
              <c:f>Working!$M$3:$M$15</c:f>
              <c:numCache>
                <c:formatCode>0.0000</c:formatCode>
                <c:ptCount val="13"/>
                <c:pt idx="0">
                  <c:v>0.12633438116319856</c:v>
                </c:pt>
                <c:pt idx="1">
                  <c:v>0.12215217062080642</c:v>
                </c:pt>
                <c:pt idx="2">
                  <c:v>0.11984986673138298</c:v>
                </c:pt>
                <c:pt idx="3">
                  <c:v>0.11891476768048218</c:v>
                </c:pt>
                <c:pt idx="4">
                  <c:v>0.11900507225847334</c:v>
                </c:pt>
                <c:pt idx="5">
                  <c:v>0.11988414885868914</c:v>
                </c:pt>
                <c:pt idx="6">
                  <c:v>0.12138297490493857</c:v>
                </c:pt>
                <c:pt idx="7">
                  <c:v>0.12337760050801487</c:v>
                </c:pt>
                <c:pt idx="8">
                  <c:v>0.12577506325101304</c:v>
                </c:pt>
                <c:pt idx="9">
                  <c:v>0.12850427422688804</c:v>
                </c:pt>
                <c:pt idx="10">
                  <c:v>0.13150994206349373</c:v>
                </c:pt>
                <c:pt idx="11">
                  <c:v>0.1347484156775568</c:v>
                </c:pt>
                <c:pt idx="12">
                  <c:v>0.13818477420245873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19-4825-868F-30ACBBA76131}"/>
            </c:ext>
          </c:extLst>
        </c:ser>
        <c:ser>
          <c:idx val="2"/>
          <c:order val="3"/>
          <c:tx>
            <c:strRef>
              <c:f>Working!$N$1:$P$1</c:f>
              <c:strCache>
                <c:ptCount val="1"/>
                <c:pt idx="0">
                  <c:v>2nd Segment Climb</c:v>
                </c:pt>
              </c:strCache>
            </c:strRef>
          </c:tx>
          <c:marker>
            <c:symbol val="circle"/>
            <c:size val="7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10"/>
            <c:marker>
              <c:spPr>
                <a:solidFill>
                  <a:srgbClr val="C00000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7C0-4CEC-9F0D-19B0DCD72B97}"/>
              </c:ext>
            </c:extLst>
          </c:dPt>
          <c:xVal>
            <c:numRef>
              <c:f>Working!$D$3:$D$15</c:f>
              <c:numCache>
                <c:formatCode>General</c:formatCode>
                <c:ptCount val="13"/>
                <c:pt idx="0">
                  <c:v>4000</c:v>
                </c:pt>
                <c:pt idx="1">
                  <c:v>4500</c:v>
                </c:pt>
                <c:pt idx="2">
                  <c:v>5000</c:v>
                </c:pt>
                <c:pt idx="3">
                  <c:v>5500</c:v>
                </c:pt>
                <c:pt idx="4">
                  <c:v>6000</c:v>
                </c:pt>
                <c:pt idx="5">
                  <c:v>6500</c:v>
                </c:pt>
                <c:pt idx="6">
                  <c:v>7000</c:v>
                </c:pt>
                <c:pt idx="7">
                  <c:v>7500</c:v>
                </c:pt>
                <c:pt idx="8">
                  <c:v>8000</c:v>
                </c:pt>
                <c:pt idx="9">
                  <c:v>8500</c:v>
                </c:pt>
                <c:pt idx="10">
                  <c:v>9000</c:v>
                </c:pt>
                <c:pt idx="11">
                  <c:v>9500</c:v>
                </c:pt>
                <c:pt idx="12">
                  <c:v>10000</c:v>
                </c:pt>
              </c:numCache>
            </c:numRef>
          </c:xVal>
          <c:yVal>
            <c:numRef>
              <c:f>Working!$P$3:$P$15</c:f>
              <c:numCache>
                <c:formatCode>General</c:formatCode>
                <c:ptCount val="13"/>
                <c:pt idx="0">
                  <c:v>0.2618602917444951</c:v>
                </c:pt>
                <c:pt idx="1">
                  <c:v>0.2618602917444951</c:v>
                </c:pt>
                <c:pt idx="2">
                  <c:v>0.2618602917444951</c:v>
                </c:pt>
                <c:pt idx="3">
                  <c:v>0.2618602917444951</c:v>
                </c:pt>
                <c:pt idx="4">
                  <c:v>0.2618602917444951</c:v>
                </c:pt>
                <c:pt idx="5">
                  <c:v>0.2618602917444951</c:v>
                </c:pt>
                <c:pt idx="6">
                  <c:v>0.2618602917444951</c:v>
                </c:pt>
                <c:pt idx="7">
                  <c:v>0.2618602917444951</c:v>
                </c:pt>
                <c:pt idx="8">
                  <c:v>0.2618602917444951</c:v>
                </c:pt>
                <c:pt idx="9">
                  <c:v>0.2618602917444951</c:v>
                </c:pt>
                <c:pt idx="10">
                  <c:v>0.2618602917444951</c:v>
                </c:pt>
                <c:pt idx="11">
                  <c:v>0.2618602917444951</c:v>
                </c:pt>
                <c:pt idx="12">
                  <c:v>0.2618602917444951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19-4825-868F-30ACBBA76131}"/>
            </c:ext>
          </c:extLst>
        </c:ser>
        <c:ser>
          <c:idx val="3"/>
          <c:order val="4"/>
          <c:tx>
            <c:strRef>
              <c:f>Working!$Q$1:$S$1</c:f>
              <c:strCache>
                <c:ptCount val="1"/>
                <c:pt idx="0">
                  <c:v>Take-Off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Working!$D$3:$D$15</c:f>
              <c:numCache>
                <c:formatCode>General</c:formatCode>
                <c:ptCount val="13"/>
                <c:pt idx="0">
                  <c:v>4000</c:v>
                </c:pt>
                <c:pt idx="1">
                  <c:v>4500</c:v>
                </c:pt>
                <c:pt idx="2">
                  <c:v>5000</c:v>
                </c:pt>
                <c:pt idx="3">
                  <c:v>5500</c:v>
                </c:pt>
                <c:pt idx="4">
                  <c:v>6000</c:v>
                </c:pt>
                <c:pt idx="5">
                  <c:v>6500</c:v>
                </c:pt>
                <c:pt idx="6">
                  <c:v>7000</c:v>
                </c:pt>
                <c:pt idx="7">
                  <c:v>7500</c:v>
                </c:pt>
                <c:pt idx="8">
                  <c:v>8000</c:v>
                </c:pt>
                <c:pt idx="9">
                  <c:v>8500</c:v>
                </c:pt>
                <c:pt idx="10">
                  <c:v>9000</c:v>
                </c:pt>
                <c:pt idx="11">
                  <c:v>9500</c:v>
                </c:pt>
                <c:pt idx="12">
                  <c:v>10000</c:v>
                </c:pt>
              </c:numCache>
            </c:numRef>
          </c:xVal>
          <c:yVal>
            <c:numRef>
              <c:f>Working!$S$3:$S$15</c:f>
              <c:numCache>
                <c:formatCode>0.0000</c:formatCode>
                <c:ptCount val="13"/>
                <c:pt idx="0">
                  <c:v>0.1698283649503162</c:v>
                </c:pt>
                <c:pt idx="1">
                  <c:v>0.19105691056910573</c:v>
                </c:pt>
                <c:pt idx="2">
                  <c:v>0.21228545618789524</c:v>
                </c:pt>
                <c:pt idx="3">
                  <c:v>0.23351400180668477</c:v>
                </c:pt>
                <c:pt idx="4">
                  <c:v>0.25474254742547431</c:v>
                </c:pt>
                <c:pt idx="5">
                  <c:v>0.27597109304426382</c:v>
                </c:pt>
                <c:pt idx="6">
                  <c:v>0.29719963866305332</c:v>
                </c:pt>
                <c:pt idx="7">
                  <c:v>0.31842818428184289</c:v>
                </c:pt>
                <c:pt idx="8">
                  <c:v>0.33965672990063239</c:v>
                </c:pt>
                <c:pt idx="9">
                  <c:v>0.3608852755194219</c:v>
                </c:pt>
                <c:pt idx="10">
                  <c:v>0.38211382113821146</c:v>
                </c:pt>
                <c:pt idx="11">
                  <c:v>0.40334236675700097</c:v>
                </c:pt>
                <c:pt idx="12">
                  <c:v>0.42457091237579048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B19-4825-868F-30ACBBA76131}"/>
            </c:ext>
          </c:extLst>
        </c:ser>
        <c:ser>
          <c:idx val="4"/>
          <c:order val="5"/>
          <c:tx>
            <c:strRef>
              <c:f>Working!$U$1</c:f>
              <c:strCache>
                <c:ptCount val="1"/>
                <c:pt idx="0">
                  <c:v>Landing</c:v>
                </c:pt>
              </c:strCache>
            </c:strRef>
          </c:tx>
          <c:spPr>
            <a:ln w="19050" cap="rnd">
              <a:solidFill>
                <a:srgbClr val="FF006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66"/>
              </a:solidFill>
              <a:ln w="9525">
                <a:solidFill>
                  <a:srgbClr val="FF0066"/>
                </a:solidFill>
              </a:ln>
              <a:effectLst/>
            </c:spPr>
          </c:marker>
          <c:xVal>
            <c:numRef>
              <c:f>Working!$V$3:$V$9</c:f>
              <c:numCache>
                <c:formatCode>0.0</c:formatCode>
                <c:ptCount val="7"/>
                <c:pt idx="0">
                  <c:v>7148.9361702127653</c:v>
                </c:pt>
                <c:pt idx="1">
                  <c:v>7148.9361702127653</c:v>
                </c:pt>
                <c:pt idx="2">
                  <c:v>7148.9361702127653</c:v>
                </c:pt>
                <c:pt idx="3">
                  <c:v>7148.9361702127653</c:v>
                </c:pt>
                <c:pt idx="4">
                  <c:v>7148.9361702127653</c:v>
                </c:pt>
                <c:pt idx="5">
                  <c:v>7148.9361702127653</c:v>
                </c:pt>
                <c:pt idx="6">
                  <c:v>7148.9361702127653</c:v>
                </c:pt>
              </c:numCache>
            </c:numRef>
          </c:xVal>
          <c:yVal>
            <c:numRef>
              <c:f>Working!$W$3:$W$9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B19-4825-868F-30ACBBA76131}"/>
            </c:ext>
          </c:extLst>
        </c:ser>
        <c:ser>
          <c:idx val="5"/>
          <c:order val="6"/>
          <c:tx>
            <c:v>Design Point</c:v>
          </c:tx>
          <c:marker>
            <c:symbol val="circle"/>
            <c:size val="7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0CB4-44DE-9696-6CE86AF01779}"/>
              </c:ext>
            </c:extLst>
          </c:dPt>
          <c:xVal>
            <c:numRef>
              <c:f>'Inputs &amp; Sizing Chart'!$P$12</c:f>
              <c:numCache>
                <c:formatCode>0</c:formatCode>
                <c:ptCount val="1"/>
                <c:pt idx="0">
                  <c:v>5000</c:v>
                </c:pt>
              </c:numCache>
            </c:numRef>
          </c:xVal>
          <c:yVal>
            <c:numRef>
              <c:f>'Inputs &amp; Sizing Chart'!$P$13</c:f>
              <c:numCache>
                <c:formatCode>0.000</c:formatCode>
                <c:ptCount val="1"/>
                <c:pt idx="0">
                  <c:v>0.27140500000000001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19-4825-868F-30ACBBA7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93816"/>
        <c:axId val="214251168"/>
      </c:scatterChart>
      <c:valAx>
        <c:axId val="212793816"/>
        <c:scaling>
          <c:orientation val="minMax"/>
          <c:max val="10000"/>
          <c:min val="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Wing Loading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51168"/>
        <c:crosses val="autoZero"/>
        <c:crossBetween val="midCat"/>
        <c:majorUnit val="2000"/>
      </c:valAx>
      <c:valAx>
        <c:axId val="214251168"/>
        <c:scaling>
          <c:orientation val="minMax"/>
          <c:max val="0.6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Thrust Loading</a:t>
                </a:r>
              </a:p>
            </c:rich>
          </c:tx>
          <c:layout>
            <c:manualLayout>
              <c:xMode val="edge"/>
              <c:yMode val="edge"/>
              <c:x val="1.9589905885919233E-3"/>
              <c:y val="0.326122718324982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3816"/>
        <c:crosses val="autoZero"/>
        <c:crossBetween val="midCat"/>
        <c:minorUnit val="5.0000000000000017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05988577270539"/>
          <c:y val="2.499062359946886E-2"/>
          <c:w val="0.30058194972819413"/>
          <c:h val="0.2788181732573719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Scissors Diagram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4704240654081364E-2"/>
          <c:y val="0.11213910454981332"/>
          <c:w val="0.87013505708602978"/>
          <c:h val="0.73884115410363094"/>
        </c:manualLayout>
      </c:layout>
      <c:scatterChart>
        <c:scatterStyle val="lineMarker"/>
        <c:varyColors val="0"/>
        <c:ser>
          <c:idx val="0"/>
          <c:order val="0"/>
          <c:tx>
            <c:strRef>
              <c:f>Scissors!$D$20</c:f>
              <c:strCache>
                <c:ptCount val="1"/>
                <c:pt idx="0">
                  <c:v>Neutral Pt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Scissors!$A$21:$A$34</c:f>
              <c:numCache>
                <c:formatCode>0.000</c:formatCode>
                <c:ptCount val="14"/>
                <c:pt idx="0">
                  <c:v>-0.3</c:v>
                </c:pt>
                <c:pt idx="1">
                  <c:v>-0.25</c:v>
                </c:pt>
                <c:pt idx="2">
                  <c:v>-0.2</c:v>
                </c:pt>
                <c:pt idx="3">
                  <c:v>-0.15</c:v>
                </c:pt>
                <c:pt idx="4">
                  <c:v>-0.1</c:v>
                </c:pt>
                <c:pt idx="5">
                  <c:v>-0.05</c:v>
                </c:pt>
                <c:pt idx="6">
                  <c:v>0</c:v>
                </c:pt>
                <c:pt idx="7">
                  <c:v>0.05</c:v>
                </c:pt>
                <c:pt idx="8">
                  <c:v>0.1</c:v>
                </c:pt>
                <c:pt idx="9">
                  <c:v>0.15</c:v>
                </c:pt>
                <c:pt idx="10">
                  <c:v>0.18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</c:numCache>
            </c:numRef>
          </c:xVal>
          <c:yVal>
            <c:numRef>
              <c:f>Scissors!$D$21:$D$34</c:f>
              <c:numCache>
                <c:formatCode>General</c:formatCode>
                <c:ptCount val="14"/>
                <c:pt idx="0">
                  <c:v>-0.17037567582088328</c:v>
                </c:pt>
                <c:pt idx="1">
                  <c:v>-0.14327578746056008</c:v>
                </c:pt>
                <c:pt idx="2">
                  <c:v>-0.11567658008225402</c:v>
                </c:pt>
                <c:pt idx="3">
                  <c:v>-8.756412534201502E-2</c:v>
                </c:pt>
                <c:pt idx="4">
                  <c:v>-5.8923971998286334E-2</c:v>
                </c:pt>
                <c:pt idx="5">
                  <c:v>-2.9741121141154462E-2</c:v>
                </c:pt>
                <c:pt idx="6">
                  <c:v>0</c:v>
                </c:pt>
                <c:pt idx="7">
                  <c:v>3.0315565766553833E-2</c:v>
                </c:pt>
                <c:pt idx="8">
                  <c:v>6.1222381401994784E-2</c:v>
                </c:pt>
                <c:pt idx="9">
                  <c:v>9.273791411633904E-2</c:v>
                </c:pt>
                <c:pt idx="10">
                  <c:v>0.11194694343611143</c:v>
                </c:pt>
                <c:pt idx="11">
                  <c:v>0.1248803260042668</c:v>
                </c:pt>
                <c:pt idx="12">
                  <c:v>0.15766850894732581</c:v>
                </c:pt>
                <c:pt idx="13">
                  <c:v>0.19112212164113537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69-492A-B8A2-7FCDE134DA75}"/>
            </c:ext>
          </c:extLst>
        </c:ser>
        <c:ser>
          <c:idx val="1"/>
          <c:order val="1"/>
          <c:tx>
            <c:strRef>
              <c:f>Scissors!$E$20</c:f>
              <c:strCache>
                <c:ptCount val="1"/>
                <c:pt idx="0">
                  <c:v>Stat Marg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Scissors!$A$21:$A$34</c:f>
              <c:numCache>
                <c:formatCode>0.000</c:formatCode>
                <c:ptCount val="14"/>
                <c:pt idx="0">
                  <c:v>-0.3</c:v>
                </c:pt>
                <c:pt idx="1">
                  <c:v>-0.25</c:v>
                </c:pt>
                <c:pt idx="2">
                  <c:v>-0.2</c:v>
                </c:pt>
                <c:pt idx="3">
                  <c:v>-0.15</c:v>
                </c:pt>
                <c:pt idx="4">
                  <c:v>-0.1</c:v>
                </c:pt>
                <c:pt idx="5">
                  <c:v>-0.05</c:v>
                </c:pt>
                <c:pt idx="6">
                  <c:v>0</c:v>
                </c:pt>
                <c:pt idx="7">
                  <c:v>0.05</c:v>
                </c:pt>
                <c:pt idx="8">
                  <c:v>0.1</c:v>
                </c:pt>
                <c:pt idx="9">
                  <c:v>0.15</c:v>
                </c:pt>
                <c:pt idx="10">
                  <c:v>0.18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</c:numCache>
            </c:numRef>
          </c:xVal>
          <c:yVal>
            <c:numRef>
              <c:f>Scissors!$E$21:$E$34</c:f>
              <c:numCache>
                <c:formatCode>0.0000</c:formatCode>
                <c:ptCount val="14"/>
                <c:pt idx="0">
                  <c:v>-0.1306213514626772</c:v>
                </c:pt>
                <c:pt idx="1">
                  <c:v>-0.10315856697160325</c:v>
                </c:pt>
                <c:pt idx="2">
                  <c:v>-7.5189777053465121E-2</c:v>
                </c:pt>
                <c:pt idx="3">
                  <c:v>-4.6700866849074672E-2</c:v>
                </c:pt>
                <c:pt idx="4">
                  <c:v>-1.7677191599485897E-2</c:v>
                </c:pt>
                <c:pt idx="5">
                  <c:v>1.1896448456461785E-2</c:v>
                </c:pt>
                <c:pt idx="6">
                  <c:v>4.2035834625235892E-2</c:v>
                </c:pt>
                <c:pt idx="7">
                  <c:v>7.2757357839729198E-2</c:v>
                </c:pt>
                <c:pt idx="8">
                  <c:v>0.10407804838339112</c:v>
                </c:pt>
                <c:pt idx="9">
                  <c:v>0.13601560737063059</c:v>
                </c:pt>
                <c:pt idx="10">
                  <c:v>0.15548186588348809</c:v>
                </c:pt>
                <c:pt idx="11">
                  <c:v>0.16858844010576018</c:v>
                </c:pt>
                <c:pt idx="12">
                  <c:v>0.20181569145257705</c:v>
                </c:pt>
                <c:pt idx="13">
                  <c:v>0.2357172833574003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69-492A-B8A2-7FCDE134DA75}"/>
            </c:ext>
          </c:extLst>
        </c:ser>
        <c:ser>
          <c:idx val="2"/>
          <c:order val="2"/>
          <c:tx>
            <c:strRef>
              <c:f>Scissors!$F$20</c:f>
              <c:strCache>
                <c:ptCount val="1"/>
                <c:pt idx="0">
                  <c:v>Take-off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Scissors!$A$21:$A$34</c:f>
              <c:numCache>
                <c:formatCode>0.000</c:formatCode>
                <c:ptCount val="14"/>
                <c:pt idx="0">
                  <c:v>-0.3</c:v>
                </c:pt>
                <c:pt idx="1">
                  <c:v>-0.25</c:v>
                </c:pt>
                <c:pt idx="2">
                  <c:v>-0.2</c:v>
                </c:pt>
                <c:pt idx="3">
                  <c:v>-0.15</c:v>
                </c:pt>
                <c:pt idx="4">
                  <c:v>-0.1</c:v>
                </c:pt>
                <c:pt idx="5">
                  <c:v>-0.05</c:v>
                </c:pt>
                <c:pt idx="6">
                  <c:v>0</c:v>
                </c:pt>
                <c:pt idx="7">
                  <c:v>0.05</c:v>
                </c:pt>
                <c:pt idx="8">
                  <c:v>0.1</c:v>
                </c:pt>
                <c:pt idx="9">
                  <c:v>0.15</c:v>
                </c:pt>
                <c:pt idx="10">
                  <c:v>0.18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</c:numCache>
            </c:numRef>
          </c:xVal>
          <c:yVal>
            <c:numRef>
              <c:f>Scissors!$F$21:$F$34</c:f>
              <c:numCache>
                <c:formatCode>0.0000</c:formatCode>
                <c:ptCount val="14"/>
                <c:pt idx="0">
                  <c:v>0.22721801189369176</c:v>
                </c:pt>
                <c:pt idx="1">
                  <c:v>0.21190427084036942</c:v>
                </c:pt>
                <c:pt idx="2">
                  <c:v>0.19659052978704705</c:v>
                </c:pt>
                <c:pt idx="3">
                  <c:v>0.18127678873372469</c:v>
                </c:pt>
                <c:pt idx="4">
                  <c:v>0.16596304768040235</c:v>
                </c:pt>
                <c:pt idx="5">
                  <c:v>0.15064930662708004</c:v>
                </c:pt>
                <c:pt idx="6">
                  <c:v>0.13533556557375764</c:v>
                </c:pt>
                <c:pt idx="7">
                  <c:v>0.12002182452043528</c:v>
                </c:pt>
                <c:pt idx="8">
                  <c:v>0.10470808346711295</c:v>
                </c:pt>
                <c:pt idx="9">
                  <c:v>8.9394342413790601E-2</c:v>
                </c:pt>
                <c:pt idx="10">
                  <c:v>8.0206097781797159E-2</c:v>
                </c:pt>
                <c:pt idx="11">
                  <c:v>7.4080601360468221E-2</c:v>
                </c:pt>
                <c:pt idx="12">
                  <c:v>5.8766860307145882E-2</c:v>
                </c:pt>
                <c:pt idx="13">
                  <c:v>4.345311925382353E-2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69-492A-B8A2-7FCDE134DA75}"/>
            </c:ext>
          </c:extLst>
        </c:ser>
        <c:ser>
          <c:idx val="3"/>
          <c:order val="3"/>
          <c:tx>
            <c:strRef>
              <c:f>Scissors!$G$20</c:f>
              <c:strCache>
                <c:ptCount val="1"/>
                <c:pt idx="0">
                  <c:v>Landing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Scissors!$A$21:$A$34</c:f>
              <c:numCache>
                <c:formatCode>0.000</c:formatCode>
                <c:ptCount val="14"/>
                <c:pt idx="0">
                  <c:v>-0.3</c:v>
                </c:pt>
                <c:pt idx="1">
                  <c:v>-0.25</c:v>
                </c:pt>
                <c:pt idx="2">
                  <c:v>-0.2</c:v>
                </c:pt>
                <c:pt idx="3">
                  <c:v>-0.15</c:v>
                </c:pt>
                <c:pt idx="4">
                  <c:v>-0.1</c:v>
                </c:pt>
                <c:pt idx="5">
                  <c:v>-0.05</c:v>
                </c:pt>
                <c:pt idx="6">
                  <c:v>0</c:v>
                </c:pt>
                <c:pt idx="7">
                  <c:v>0.05</c:v>
                </c:pt>
                <c:pt idx="8">
                  <c:v>0.1</c:v>
                </c:pt>
                <c:pt idx="9">
                  <c:v>0.15</c:v>
                </c:pt>
                <c:pt idx="10">
                  <c:v>0.18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</c:numCache>
            </c:numRef>
          </c:xVal>
          <c:yVal>
            <c:numRef>
              <c:f>Scissors!$G$21:$G$34</c:f>
              <c:numCache>
                <c:formatCode>0.0000</c:formatCode>
                <c:ptCount val="14"/>
                <c:pt idx="0">
                  <c:v>0.24151444196154695</c:v>
                </c:pt>
                <c:pt idx="1">
                  <c:v>0.21369188187506835</c:v>
                </c:pt>
                <c:pt idx="2">
                  <c:v>0.18535668744871958</c:v>
                </c:pt>
                <c:pt idx="3">
                  <c:v>0.15649455891191469</c:v>
                </c:pt>
                <c:pt idx="4">
                  <c:v>0.12709065965236996</c:v>
                </c:pt>
                <c:pt idx="5">
                  <c:v>9.7129590784792774E-2</c:v>
                </c:pt>
                <c:pt idx="6">
                  <c:v>6.6595364260062531E-2</c:v>
                </c:pt>
                <c:pt idx="7">
                  <c:v>3.5471374416235768E-2</c:v>
                </c:pt>
                <c:pt idx="8">
                  <c:v>3.7403678650147917E-3</c:v>
                </c:pt>
                <c:pt idx="9">
                  <c:v>-2.8615588401063648E-2</c:v>
                </c:pt>
                <c:pt idx="10">
                  <c:v>-4.8336864199187361E-2</c:v>
                </c:pt>
                <c:pt idx="11">
                  <c:v>-6.1615140804590574E-2</c:v>
                </c:pt>
                <c:pt idx="12">
                  <c:v>-9.5277685016224092E-2</c:v>
                </c:pt>
                <c:pt idx="13">
                  <c:v>-0.12962340396929656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69-492A-B8A2-7FCDE134DA75}"/>
            </c:ext>
          </c:extLst>
        </c:ser>
        <c:ser>
          <c:idx val="4"/>
          <c:order val="4"/>
          <c:tx>
            <c:v>Min HTP area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Scissors!$I$2:$I$3</c:f>
              <c:numCache>
                <c:formatCode>0.000</c:formatCode>
                <c:ptCount val="2"/>
                <c:pt idx="0">
                  <c:v>-0.1</c:v>
                </c:pt>
                <c:pt idx="1">
                  <c:v>0.18</c:v>
                </c:pt>
              </c:numCache>
            </c:numRef>
          </c:xVal>
          <c:yVal>
            <c:numRef>
              <c:f>Scissors!$J$2:$J$3</c:f>
              <c:numCache>
                <c:formatCode>0.0000</c:formatCode>
                <c:ptCount val="2"/>
                <c:pt idx="0">
                  <c:v>0.16596304768040235</c:v>
                </c:pt>
                <c:pt idx="1">
                  <c:v>0.16596304768040235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D69-492A-B8A2-7FCDE134D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67752"/>
        <c:axId val="231717192"/>
      </c:scatterChart>
      <c:valAx>
        <c:axId val="231267752"/>
        <c:scaling>
          <c:orientation val="minMax"/>
          <c:max val="0.3000000000000001"/>
          <c:min val="-0.30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717192"/>
        <c:crosses val="autoZero"/>
        <c:crossBetween val="midCat"/>
      </c:valAx>
      <c:valAx>
        <c:axId val="231717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</a:t>
                </a:r>
                <a:r>
                  <a:rPr lang="en-US" sz="1400" baseline="-25000"/>
                  <a:t>T</a:t>
                </a:r>
                <a:r>
                  <a:rPr lang="en-US" sz="1400" baseline="0"/>
                  <a:t>/S</a:t>
                </a:r>
                <a:r>
                  <a:rPr lang="en-US" sz="1400" baseline="-25000"/>
                  <a:t>REF</a:t>
                </a:r>
              </a:p>
            </c:rich>
          </c:tx>
          <c:layout>
            <c:manualLayout>
              <c:xMode val="edge"/>
              <c:yMode val="edge"/>
              <c:x val="0.5265829620022785"/>
              <c:y val="0.1395091839624497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6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0595060269229288E-2"/>
          <c:y val="0.57353619891956154"/>
          <c:w val="0.24003866159700338"/>
          <c:h val="0.2671966598404276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0000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CC"/>
              </a:solidFill>
              <a:ln w="9525">
                <a:solidFill>
                  <a:srgbClr val="0000CC"/>
                </a:solidFill>
              </a:ln>
              <a:effectLst/>
            </c:spPr>
          </c:marker>
          <c:xVal>
            <c:numRef>
              <c:f>'Wing Planform'!$K$3:$K$9</c:f>
              <c:numCache>
                <c:formatCode>0.0000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</c:numCache>
            </c:numRef>
          </c:xVal>
          <c:yVal>
            <c:numRef>
              <c:f>'Wing Planform'!$J$3:$J$9</c:f>
              <c:numCache>
                <c:formatCode>0.0000</c:formatCode>
                <c:ptCount val="7"/>
                <c:pt idx="0">
                  <c:v>0</c:v>
                </c:pt>
                <c:pt idx="1">
                  <c:v>0.33864365131641827</c:v>
                </c:pt>
                <c:pt idx="2">
                  <c:v>0.41981572879056189</c:v>
                </c:pt>
                <c:pt idx="3">
                  <c:v>0.45043676102463531</c:v>
                </c:pt>
                <c:pt idx="4">
                  <c:v>0.6580525361970383</c:v>
                </c:pt>
                <c:pt idx="5">
                  <c:v>0.59032380593375466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8-45C4-8B3D-08109105C94D}"/>
            </c:ext>
          </c:extLst>
        </c:ser>
        <c:ser>
          <c:idx val="2"/>
          <c:order val="1"/>
          <c:spPr>
            <a:ln w="19050" cap="rnd">
              <a:solidFill>
                <a:schemeClr val="accent3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('Wing Planform'!$K$4,'Wing Planform'!$K$6)</c:f>
              <c:numCache>
                <c:formatCode>0.0000</c:formatCode>
                <c:ptCount val="2"/>
                <c:pt idx="0">
                  <c:v>0</c:v>
                </c:pt>
                <c:pt idx="1">
                  <c:v>0.35</c:v>
                </c:pt>
              </c:numCache>
            </c:numRef>
          </c:xVal>
          <c:yVal>
            <c:numRef>
              <c:f>('Wing Planform'!$J$4,'Wing Planform'!$J$6)</c:f>
              <c:numCache>
                <c:formatCode>0.0000</c:formatCode>
                <c:ptCount val="2"/>
                <c:pt idx="0">
                  <c:v>0.33864365131641827</c:v>
                </c:pt>
                <c:pt idx="1">
                  <c:v>0.45043676102463531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28-45C4-8B3D-08109105C94D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'Wing Planform'!$M$3:$M$4</c:f>
              <c:numCache>
                <c:formatCode>0.0000</c:formatCode>
                <c:ptCount val="2"/>
                <c:pt idx="0">
                  <c:v>0.3144369272595593</c:v>
                </c:pt>
                <c:pt idx="1">
                  <c:v>0.3144369272595593</c:v>
                </c:pt>
              </c:numCache>
            </c:numRef>
          </c:xVal>
          <c:yVal>
            <c:numRef>
              <c:f>'Wing Planform'!$L$3:$L$4</c:f>
              <c:numCache>
                <c:formatCode>General</c:formatCode>
                <c:ptCount val="2"/>
                <c:pt idx="0">
                  <c:v>0.18561960362597818</c:v>
                </c:pt>
                <c:pt idx="1">
                  <c:v>0.44732539531969884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28-45C4-8B3D-08109105C94D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'Wing Planform'!$O$3</c:f>
              <c:numCache>
                <c:formatCode>0.0000</c:formatCode>
                <c:ptCount val="1"/>
                <c:pt idx="0">
                  <c:v>0.3144369272595593</c:v>
                </c:pt>
              </c:numCache>
            </c:numRef>
          </c:xVal>
          <c:yVal>
            <c:numRef>
              <c:f>'Wing Planform'!$N$3</c:f>
              <c:numCache>
                <c:formatCode>General</c:formatCode>
                <c:ptCount val="1"/>
                <c:pt idx="0">
                  <c:v>0.25104605154940834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28-45C4-8B3D-08109105C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66272"/>
        <c:axId val="214918064"/>
      </c:scatterChart>
      <c:valAx>
        <c:axId val="214966272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18064"/>
        <c:crosses val="autoZero"/>
        <c:crossBetween val="midCat"/>
      </c:valAx>
      <c:valAx>
        <c:axId val="214918064"/>
        <c:scaling>
          <c:orientation val="maxMin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6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79969745828446E-2"/>
          <c:y val="3.3956040744707747E-2"/>
          <c:w val="0.92776526914838675"/>
          <c:h val="0.92017993074644233"/>
        </c:manualLayout>
      </c:layout>
      <c:scatterChart>
        <c:scatterStyle val="lineMarker"/>
        <c:varyColors val="0"/>
        <c:ser>
          <c:idx val="1"/>
          <c:order val="0"/>
          <c:tx>
            <c:v>Wing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'Plan View'!$G$16:$G$24</c:f>
              <c:numCache>
                <c:formatCode>0.0000</c:formatCode>
                <c:ptCount val="9"/>
                <c:pt idx="0">
                  <c:v>0</c:v>
                </c:pt>
                <c:pt idx="1">
                  <c:v>0.35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-0.35</c:v>
                </c:pt>
                <c:pt idx="8">
                  <c:v>0</c:v>
                </c:pt>
              </c:numCache>
            </c:numRef>
          </c:xVal>
          <c:yVal>
            <c:numRef>
              <c:f>'Plan View'!$F$16:$F$24</c:f>
              <c:numCache>
                <c:formatCode>0.0000</c:formatCode>
                <c:ptCount val="9"/>
                <c:pt idx="0">
                  <c:v>0.16876967724115355</c:v>
                </c:pt>
                <c:pt idx="1">
                  <c:v>0.19939070947522697</c:v>
                </c:pt>
                <c:pt idx="2">
                  <c:v>0.40700648464762995</c:v>
                </c:pt>
                <c:pt idx="3">
                  <c:v>0.33927775438434632</c:v>
                </c:pt>
                <c:pt idx="4">
                  <c:v>-0.25104605154940834</c:v>
                </c:pt>
                <c:pt idx="5">
                  <c:v>0.33927775438434632</c:v>
                </c:pt>
                <c:pt idx="6">
                  <c:v>0.40700648464762995</c:v>
                </c:pt>
                <c:pt idx="7">
                  <c:v>0.19939070947522697</c:v>
                </c:pt>
                <c:pt idx="8">
                  <c:v>0.16876967724115355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B3-496A-8D14-D61959DE2C2F}"/>
            </c:ext>
          </c:extLst>
        </c:ser>
        <c:ser>
          <c:idx val="0"/>
          <c:order val="1"/>
          <c:tx>
            <c:v>HTP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'Plan View'!$J$4:$J$10</c:f>
              <c:numCache>
                <c:formatCode>0.0000</c:formatCode>
                <c:ptCount val="7"/>
                <c:pt idx="0">
                  <c:v>0</c:v>
                </c:pt>
                <c:pt idx="1">
                  <c:v>0.40738562527463135</c:v>
                </c:pt>
                <c:pt idx="2">
                  <c:v>0.40738562527463135</c:v>
                </c:pt>
                <c:pt idx="3">
                  <c:v>0</c:v>
                </c:pt>
                <c:pt idx="4">
                  <c:v>-0.40738562527463135</c:v>
                </c:pt>
                <c:pt idx="5">
                  <c:v>-0.40738562527463135</c:v>
                </c:pt>
                <c:pt idx="6">
                  <c:v>0</c:v>
                </c:pt>
              </c:numCache>
            </c:numRef>
          </c:xVal>
          <c:yVal>
            <c:numRef>
              <c:f>'Plan View'!$I$4:$I$10</c:f>
              <c:numCache>
                <c:formatCode>0.0000</c:formatCode>
                <c:ptCount val="7"/>
                <c:pt idx="0">
                  <c:v>1.2277352830926205</c:v>
                </c:pt>
                <c:pt idx="1">
                  <c:v>1.4788481359221042</c:v>
                </c:pt>
                <c:pt idx="2">
                  <c:v>1.5440298359660451</c:v>
                </c:pt>
                <c:pt idx="3">
                  <c:v>1.4884620832683846</c:v>
                </c:pt>
                <c:pt idx="4">
                  <c:v>1.5440298359660451</c:v>
                </c:pt>
                <c:pt idx="5">
                  <c:v>1.4788481359221042</c:v>
                </c:pt>
                <c:pt idx="6">
                  <c:v>1.2277352830926205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B3-496A-8D14-D61959DE2C2F}"/>
            </c:ext>
          </c:extLst>
        </c:ser>
        <c:ser>
          <c:idx val="2"/>
          <c:order val="2"/>
          <c:tx>
            <c:v>VTP</c:v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'Plan View'!$J$14:$J$18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-0.38647993856390805</c:v>
                </c:pt>
                <c:pt idx="3">
                  <c:v>-0.38647993856390805</c:v>
                </c:pt>
                <c:pt idx="4">
                  <c:v>0</c:v>
                </c:pt>
              </c:numCache>
            </c:numRef>
          </c:xVal>
          <c:yVal>
            <c:numRef>
              <c:f>'Plan View'!$I$14:$I$18</c:f>
              <c:numCache>
                <c:formatCode>0.0000</c:formatCode>
                <c:ptCount val="5"/>
                <c:pt idx="0">
                  <c:v>1.0700973971737873</c:v>
                </c:pt>
                <c:pt idx="1">
                  <c:v>1.4664870777521546</c:v>
                </c:pt>
                <c:pt idx="2">
                  <c:v>1.4979098421330013</c:v>
                </c:pt>
                <c:pt idx="3">
                  <c:v>1.4186319060173278</c:v>
                </c:pt>
                <c:pt idx="4">
                  <c:v>1.0700973971737873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B3-496A-8D14-D61959DE2C2F}"/>
            </c:ext>
          </c:extLst>
        </c:ser>
        <c:ser>
          <c:idx val="6"/>
          <c:order val="3"/>
          <c:tx>
            <c:v>MAC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'Plan View'!$I$22:$I$23</c:f>
              <c:numCache>
                <c:formatCode>0.0000</c:formatCode>
                <c:ptCount val="2"/>
                <c:pt idx="0">
                  <c:v>0.3144369272595593</c:v>
                </c:pt>
                <c:pt idx="1">
                  <c:v>0.3144369272595593</c:v>
                </c:pt>
              </c:numCache>
            </c:numRef>
          </c:xVal>
          <c:yVal>
            <c:numRef>
              <c:f>'Plan View'!$H$22:$H$23</c:f>
              <c:numCache>
                <c:formatCode>0.0000</c:formatCode>
                <c:ptCount val="2"/>
                <c:pt idx="0">
                  <c:v>-6.5426447923430164E-2</c:v>
                </c:pt>
                <c:pt idx="1">
                  <c:v>0.19627934377029049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2C-4312-93D8-56CB87637552}"/>
            </c:ext>
          </c:extLst>
        </c:ser>
        <c:ser>
          <c:idx val="3"/>
          <c:order val="4"/>
          <c:spPr>
            <a:ln>
              <a:prstDash val="sysDot"/>
            </a:ln>
          </c:spPr>
          <c:marker>
            <c:symbol val="none"/>
          </c:marker>
          <c:xVal>
            <c:numRef>
              <c:f>'Plan View'!$L$8:$L$9</c:f>
              <c:numCache>
                <c:formatCode>0.0000</c:formatCode>
                <c:ptCount val="2"/>
                <c:pt idx="0">
                  <c:v>0.16295425010985257</c:v>
                </c:pt>
                <c:pt idx="1">
                  <c:v>0.16295425010985257</c:v>
                </c:pt>
              </c:numCache>
            </c:numRef>
          </c:xVal>
          <c:yVal>
            <c:numRef>
              <c:f>'Plan View'!$K$8:$K$9</c:f>
              <c:numCache>
                <c:formatCode>0.0000</c:formatCode>
                <c:ptCount val="2"/>
                <c:pt idx="0">
                  <c:v>1.328180424224414</c:v>
                </c:pt>
                <c:pt idx="1">
                  <c:v>1.5106891843474488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B3-496A-8D14-D61959DE2C2F}"/>
            </c:ext>
          </c:extLst>
        </c:ser>
        <c:ser>
          <c:idx val="4"/>
          <c:order val="5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66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'Plan View'!$L$10</c:f>
              <c:numCache>
                <c:formatCode>0.0000</c:formatCode>
                <c:ptCount val="1"/>
                <c:pt idx="0">
                  <c:v>0.16295425010985257</c:v>
                </c:pt>
              </c:numCache>
            </c:numRef>
          </c:xVal>
          <c:yVal>
            <c:numRef>
              <c:f>'Plan View'!$K$10</c:f>
              <c:numCache>
                <c:formatCode>0.0000</c:formatCode>
                <c:ptCount val="1"/>
                <c:pt idx="0">
                  <c:v>1.3738076142551727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B3-496A-8D14-D61959DE2C2F}"/>
            </c:ext>
          </c:extLst>
        </c:ser>
        <c:ser>
          <c:idx val="5"/>
          <c:order val="6"/>
          <c:spPr>
            <a:ln w="1905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'Plan View'!$L$16:$L$17</c:f>
              <c:numCache>
                <c:formatCode>0.0000</c:formatCode>
                <c:ptCount val="2"/>
                <c:pt idx="0">
                  <c:v>-0.15029775388596428</c:v>
                </c:pt>
                <c:pt idx="1">
                  <c:v>-0.15029775388596428</c:v>
                </c:pt>
              </c:numCache>
            </c:numRef>
          </c:xVal>
          <c:yVal>
            <c:numRef>
              <c:f>'Plan View'!$K$16:$K$17</c:f>
              <c:numCache>
                <c:formatCode>0.0000</c:formatCode>
                <c:ptCount val="2"/>
                <c:pt idx="0">
                  <c:v>1.2056385950573865</c:v>
                </c:pt>
                <c:pt idx="1">
                  <c:v>1.4787070416780395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B3-496A-8D14-D61959DE2C2F}"/>
            </c:ext>
          </c:extLst>
        </c:ser>
        <c:ser>
          <c:idx val="7"/>
          <c:order val="7"/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'Plan View'!$I$24</c:f>
              <c:numCache>
                <c:formatCode>0.0000</c:formatCode>
                <c:ptCount val="1"/>
                <c:pt idx="0">
                  <c:v>0.3144369272595593</c:v>
                </c:pt>
              </c:numCache>
            </c:numRef>
          </c:xVal>
          <c:yVal>
            <c:numRef>
              <c:f>'Plan View'!$H$24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B3-496A-8D14-D61959DE2C2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00CC"/>
              </a:solidFill>
              <a:ln w="9525">
                <a:solidFill>
                  <a:srgbClr val="0000CC"/>
                </a:solidFill>
              </a:ln>
              <a:effectLst/>
            </c:spPr>
          </c:marker>
          <c:xVal>
            <c:numRef>
              <c:f>'Plan View'!$L$18</c:f>
              <c:numCache>
                <c:formatCode>0.0000</c:formatCode>
                <c:ptCount val="1"/>
                <c:pt idx="0">
                  <c:v>-0.15029775388596428</c:v>
                </c:pt>
              </c:numCache>
            </c:numRef>
          </c:xVal>
          <c:yVal>
            <c:numRef>
              <c:f>'Plan View'!$K$18</c:f>
              <c:numCache>
                <c:formatCode>0.0000</c:formatCode>
                <c:ptCount val="1"/>
                <c:pt idx="0">
                  <c:v>1.2739057067125497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B3-496A-8D14-D61959DE2C2F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'Plan View'!$G$4:$G$12</c:f>
              <c:numCache>
                <c:formatCode>0.0000</c:formatCode>
                <c:ptCount val="9"/>
                <c:pt idx="0">
                  <c:v>0</c:v>
                </c:pt>
                <c:pt idx="1">
                  <c:v>7.6074781429688251E-2</c:v>
                </c:pt>
                <c:pt idx="2">
                  <c:v>0.1521495628593765</c:v>
                </c:pt>
                <c:pt idx="3">
                  <c:v>0.1521495628593765</c:v>
                </c:pt>
                <c:pt idx="4">
                  <c:v>0</c:v>
                </c:pt>
                <c:pt idx="5">
                  <c:v>-0.1521495628593765</c:v>
                </c:pt>
                <c:pt idx="6">
                  <c:v>-0.1521495628593765</c:v>
                </c:pt>
                <c:pt idx="7">
                  <c:v>-7.6074781429688251E-2</c:v>
                </c:pt>
                <c:pt idx="8">
                  <c:v>0</c:v>
                </c:pt>
              </c:numCache>
            </c:numRef>
          </c:xVal>
          <c:yVal>
            <c:numRef>
              <c:f>'Plan View'!$F$4:$F$12</c:f>
              <c:numCache>
                <c:formatCode>0.0000</c:formatCode>
                <c:ptCount val="9"/>
                <c:pt idx="0">
                  <c:v>-1.280711639508735</c:v>
                </c:pt>
                <c:pt idx="1">
                  <c:v>-1.2046368580790467</c:v>
                </c:pt>
                <c:pt idx="2">
                  <c:v>-1.0372723389337326</c:v>
                </c:pt>
                <c:pt idx="3">
                  <c:v>1.0213983806645199</c:v>
                </c:pt>
                <c:pt idx="4">
                  <c:v>1.6299966321020261</c:v>
                </c:pt>
                <c:pt idx="5">
                  <c:v>1.0213983806645199</c:v>
                </c:pt>
                <c:pt idx="6">
                  <c:v>-1.0372723389337326</c:v>
                </c:pt>
                <c:pt idx="7">
                  <c:v>-1.2046368580790467</c:v>
                </c:pt>
                <c:pt idx="8">
                  <c:v>-1.280711639508735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B3-496A-8D14-D61959DE2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68448"/>
        <c:axId val="216200464"/>
      </c:scatterChart>
      <c:valAx>
        <c:axId val="215768448"/>
        <c:scaling>
          <c:orientation val="minMax"/>
          <c:max val="1.6"/>
          <c:min val="-1.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200464"/>
        <c:crosses val="autoZero"/>
        <c:crossBetween val="midCat"/>
        <c:majorUnit val="0.4"/>
      </c:valAx>
      <c:valAx>
        <c:axId val="216200464"/>
        <c:scaling>
          <c:orientation val="maxMin"/>
          <c:max val="1.6"/>
          <c:min val="-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68448"/>
        <c:crosses val="autoZero"/>
        <c:crossBetween val="midCat"/>
        <c:majorUnit val="0.4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3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542924</xdr:colOff>
      <xdr:row>25</xdr:row>
      <xdr:rowOff>0</xdr:rowOff>
    </xdr:from>
    <xdr:to>
      <xdr:col>24</xdr:col>
      <xdr:colOff>76200</xdr:colOff>
      <xdr:row>56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21</xdr:row>
      <xdr:rowOff>0</xdr:rowOff>
    </xdr:from>
    <xdr:to>
      <xdr:col>23</xdr:col>
      <xdr:colOff>0</xdr:colOff>
      <xdr:row>24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0706100" y="4181475"/>
          <a:ext cx="6657975" cy="55245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21</xdr:row>
      <xdr:rowOff>19050</xdr:rowOff>
    </xdr:from>
    <xdr:to>
      <xdr:col>23</xdr:col>
      <xdr:colOff>19050</xdr:colOff>
      <xdr:row>24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0715625" y="4200525"/>
          <a:ext cx="8553450" cy="55245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584835</xdr:colOff>
      <xdr:row>0</xdr:row>
      <xdr:rowOff>137585</xdr:rowOff>
    </xdr:from>
    <xdr:to>
      <xdr:col>13</xdr:col>
      <xdr:colOff>794385</xdr:colOff>
      <xdr:row>24</xdr:row>
      <xdr:rowOff>17146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33868</xdr:colOff>
      <xdr:row>0</xdr:row>
      <xdr:rowOff>25400</xdr:rowOff>
    </xdr:from>
    <xdr:to>
      <xdr:col>15</xdr:col>
      <xdr:colOff>464081</xdr:colOff>
      <xdr:row>19</xdr:row>
      <xdr:rowOff>174095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1554557</xdr:colOff>
      <xdr:row>17</xdr:row>
      <xdr:rowOff>85724</xdr:rowOff>
    </xdr:from>
    <xdr:to>
      <xdr:col>1</xdr:col>
      <xdr:colOff>155577</xdr:colOff>
      <xdr:row>19</xdr:row>
      <xdr:rowOff>16914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4557" y="3252257"/>
          <a:ext cx="1378087" cy="303724"/>
        </a:xfrm>
        <a:prstGeom prst="rect">
          <a:avLst/>
        </a:prstGeom>
      </xdr:spPr>
    </xdr:pic>
    <xdr:clientData/>
  </xdr:twoCellAnchor>
  <xdr:twoCellAnchor editAs="oneCell">
    <xdr:from>
      <xdr:col>8</xdr:col>
      <xdr:colOff>42332</xdr:colOff>
      <xdr:row>24</xdr:row>
      <xdr:rowOff>51859</xdr:rowOff>
    </xdr:from>
    <xdr:to>
      <xdr:col>13</xdr:col>
      <xdr:colOff>275485</xdr:colOff>
      <xdr:row>28</xdr:row>
      <xdr:rowOff>79969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43232" y="4623859"/>
          <a:ext cx="3281152" cy="790110"/>
        </a:xfrm>
        <a:prstGeom prst="rect">
          <a:avLst/>
        </a:prstGeom>
        <a:ln>
          <a:solidFill>
            <a:srgbClr val="C00000"/>
          </a:solidFill>
        </a:ln>
      </xdr:spPr>
    </xdr:pic>
    <xdr:clientData/>
  </xdr:twoCellAnchor>
  <xdr:twoCellAnchor editAs="oneCell">
    <xdr:from>
      <xdr:col>8</xdr:col>
      <xdr:colOff>42332</xdr:colOff>
      <xdr:row>29</xdr:row>
      <xdr:rowOff>63499</xdr:rowOff>
    </xdr:from>
    <xdr:to>
      <xdr:col>12</xdr:col>
      <xdr:colOff>160817</xdr:colOff>
      <xdr:row>33</xdr:row>
      <xdr:rowOff>33083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43232" y="5587999"/>
          <a:ext cx="2556884" cy="731584"/>
        </a:xfrm>
        <a:prstGeom prst="rect">
          <a:avLst/>
        </a:prstGeom>
        <a:ln>
          <a:solidFill>
            <a:srgbClr val="C00000"/>
          </a:solidFill>
        </a:ln>
      </xdr:spPr>
    </xdr:pic>
    <xdr:clientData/>
  </xdr:twoCellAnchor>
  <xdr:twoCellAnchor editAs="oneCell">
    <xdr:from>
      <xdr:col>8</xdr:col>
      <xdr:colOff>42332</xdr:colOff>
      <xdr:row>20</xdr:row>
      <xdr:rowOff>84668</xdr:rowOff>
    </xdr:from>
    <xdr:to>
      <xdr:col>12</xdr:col>
      <xdr:colOff>511977</xdr:colOff>
      <xdr:row>23</xdr:row>
      <xdr:rowOff>65514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43232" y="3894668"/>
          <a:ext cx="2908044" cy="552346"/>
        </a:xfrm>
        <a:prstGeom prst="rect">
          <a:avLst/>
        </a:prstGeom>
        <a:ln>
          <a:solidFill>
            <a:srgbClr val="C00000"/>
          </a:solidFill>
        </a:ln>
      </xdr:spPr>
    </xdr:pic>
    <xdr:clientData/>
  </xdr:twoCellAnchor>
  <xdr:twoCellAnchor editAs="oneCell">
    <xdr:from>
      <xdr:col>0</xdr:col>
      <xdr:colOff>99484</xdr:colOff>
      <xdr:row>14</xdr:row>
      <xdr:rowOff>184150</xdr:rowOff>
    </xdr:from>
    <xdr:to>
      <xdr:col>4</xdr:col>
      <xdr:colOff>372024</xdr:colOff>
      <xdr:row>17</xdr:row>
      <xdr:rowOff>59492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484" y="2791883"/>
          <a:ext cx="5208607" cy="434142"/>
        </a:xfrm>
        <a:prstGeom prst="rect">
          <a:avLst/>
        </a:prstGeom>
        <a:ln>
          <a:solidFill>
            <a:srgbClr val="0000CC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499533</xdr:colOff>
      <xdr:row>13</xdr:row>
      <xdr:rowOff>16933</xdr:rowOff>
    </xdr:from>
    <xdr:to>
      <xdr:col>11</xdr:col>
      <xdr:colOff>139701</xdr:colOff>
      <xdr:row>22</xdr:row>
      <xdr:rowOff>110068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001933" y="2438400"/>
          <a:ext cx="3983568" cy="1769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The</a:t>
          </a:r>
          <a:r>
            <a:rPr lang="en-GB" sz="1100" baseline="0"/>
            <a:t> seat pitch and width has been complied with the data from seating arrangements of current airplanes, and regulations. The pilot cabin is asumed to be 3.7m as a standard. Length of tailcone is calculated with an equation aquired from a graph with a correlation between Fuselage diameter and the length of the Tail, and hence the "usable" length of the tail. In the Main Fuse 1.52m have been accounted for 2 exits while their actual width is 1.16m, for the reason of having extra space and seats for flight attendants. The number of exits acounts for future extensions of the fuselage. 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28311</xdr:colOff>
      <xdr:row>1</xdr:row>
      <xdr:rowOff>19313</xdr:rowOff>
    </xdr:from>
    <xdr:to>
      <xdr:col>18</xdr:col>
      <xdr:colOff>595842</xdr:colOff>
      <xdr:row>30</xdr:row>
      <xdr:rowOff>114563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126999</xdr:colOff>
      <xdr:row>18</xdr:row>
      <xdr:rowOff>114561</xdr:rowOff>
    </xdr:from>
    <xdr:to>
      <xdr:col>5</xdr:col>
      <xdr:colOff>112710</xdr:colOff>
      <xdr:row>21</xdr:row>
      <xdr:rowOff>179582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50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126999" y="3744644"/>
              <a:ext cx="3054878" cy="636521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𝑡𝑎𝑛</m:t>
                        </m:r>
                        <m:r>
                          <a:rPr lang="el-G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𝛬</m:t>
                        </m:r>
                      </m:e>
                      <m:sub>
                        <m:r>
                          <a:rPr lang="en-GB" sz="14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  <m:r>
                      <a:rPr lang="en-GB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𝑀</m:t>
                                        </m:r>
                                      </m:e>
                                      <m:sub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∞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𝑀</m:t>
                                        </m:r>
                                      </m:e>
                                      <m:sub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rad>
                    <m:r>
                      <a:rPr lang="en-GB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f>
                      <m:fPr>
                        <m:ctrlP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num>
                      <m:den>
                        <m:r>
                          <a:rPr lang="en-GB" sz="14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den>
                    </m:f>
                    <m:d>
                      <m:dPr>
                        <m:ctrlP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4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𝜆</m:t>
                            </m:r>
                          </m:e>
                          <m:sub>
                            <m:r>
                              <a:rPr lang="en-GB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TextBox 50"/>
            <xdr:cNvSpPr txBox="1"/>
          </xdr:nvSpPr>
          <xdr:spPr>
            <a:xfrm>
              <a:off x="126999" y="3744644"/>
              <a:ext cx="3054878" cy="636521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〖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𝑡𝑎𝑛</a:t>
              </a:r>
              <a:r>
                <a:rPr lang="el-GR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𝛬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𝑙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𝑒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/𝑡𝑒)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√((𝑀_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∞/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𝑀_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𝑠 )^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2−1)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±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𝑐_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𝑟/2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𝑠 (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1−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𝑢 )</a:t>
              </a:r>
              <a:endParaRPr lang="en-GB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116416</xdr:colOff>
      <xdr:row>10</xdr:row>
      <xdr:rowOff>182030</xdr:rowOff>
    </xdr:from>
    <xdr:to>
      <xdr:col>5</xdr:col>
      <xdr:colOff>211666</xdr:colOff>
      <xdr:row>15</xdr:row>
      <xdr:rowOff>128892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13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16416" y="2315630"/>
              <a:ext cx="3312583" cy="857029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>
                      <m:fPr>
                        <m:ctrlP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num>
                      <m:den>
                        <m: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den>
                    </m:f>
                    <m:r>
                      <a:rPr lang="en-GB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4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4</m:t>
                            </m:r>
                          </m:num>
                          <m:den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𝐴𝑅</m:t>
                            </m:r>
                          </m:den>
                        </m:f>
                        <m:r>
                          <a:rPr lang="en-GB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  <m:sup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d>
                          <m:dPr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4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𝑡𝑎𝑛</m:t>
                            </m:r>
                            <m:sSub>
                              <m:sSubPr>
                                <m:ctrlPr>
                                  <a:rPr lang="en-GB" sz="14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l-GR" sz="14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Λ</m:t>
                                </m:r>
                              </m:e>
                              <m:sub>
                                <m:r>
                                  <a:rPr lang="en-GB" sz="14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½</m:t>
                                </m:r>
                              </m:sub>
                            </m:sSub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𝑡𝑎𝑛</m:t>
                            </m:r>
                            <m:sSub>
                              <m:sSubPr>
                                <m:ctrlP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l-GR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Λ</m:t>
                                </m:r>
                              </m:e>
                              <m:sub>
                                <m: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d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1−</m:t>
                            </m:r>
                            <m:f>
                              <m:fPr>
                                <m:ctrlP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𝜂</m:t>
                                    </m:r>
                                  </m:e>
                                  <m:sub>
                                    <m: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n-GB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𝜆</m:t>
                                </m:r>
                              </m:e>
                              <m:sub>
                                <m:r>
                                  <a:rPr lang="en-GB" sz="14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𝑢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4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1+</m:t>
                                </m:r>
                                <m:f>
                                  <m:fPr>
                                    <m:ctrlP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Sup>
                                      <m:sSubSupPr>
                                        <m:ctrlP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𝜂</m:t>
                                        </m:r>
                                      </m:e>
                                      <m:sub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𝑐</m:t>
                                        </m:r>
                                      </m:sub>
                                      <m:sup>
                                        <m:r>
                                          <a:rPr lang="en-GB" sz="140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bSup>
                                  </m:num>
                                  <m:den>
                                    <m:r>
                                      <a:rPr lang="en-GB" sz="14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</m:d>
                      </m:den>
                    </m:f>
                  </m:oMath>
                </m:oMathPara>
              </a14:m>
              <a:endParaRPr lang="en-GB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1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 txBox="1"/>
          </xdr:nvSpPr>
          <xdr:spPr>
            <a:xfrm>
              <a:off x="116416" y="2315630"/>
              <a:ext cx="3312583" cy="857029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𝑐_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𝑟/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𝑠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=(4/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𝐴𝑅−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𝑐^2 (</a:t>
              </a:r>
              <a:r>
                <a:rPr lang="en-GB" sz="1400" i="0" kern="1200">
                  <a:solidFill>
                    <a:schemeClr val="tx1"/>
                  </a:solidFill>
                  <a:effectLst/>
                  <a:latin typeface="Arial" charset="0"/>
                  <a:ea typeface="+mn-ea"/>
                  <a:cs typeface="+mn-cs"/>
                </a:rPr>
                <a:t>𝑡𝑎𝑛</a:t>
              </a:r>
              <a:r>
                <a:rPr lang="el-GR" sz="1400" i="0" kern="1200">
                  <a:solidFill>
                    <a:schemeClr val="tx1"/>
                  </a:solidFill>
                  <a:effectLst/>
                  <a:latin typeface="Arial" charset="0"/>
                  <a:ea typeface="+mn-ea"/>
                  <a:cs typeface="+mn-cs"/>
                </a:rPr>
                <a:t>Λ</a:t>
              </a:r>
              <a:r>
                <a:rPr lang="en-GB" sz="1400" i="0" kern="1200">
                  <a:solidFill>
                    <a:schemeClr val="tx1"/>
                  </a:solidFill>
                  <a:effectLst/>
                  <a:latin typeface="Arial" charset="0"/>
                  <a:ea typeface="+mn-ea"/>
                  <a:cs typeface="+mn-cs"/>
                </a:rPr>
                <a:t>_½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−𝑡𝑎𝑛</a:t>
              </a:r>
              <a:r>
                <a:rPr lang="el-GR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Λ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 )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)/[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1−(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𝑐^2)/2+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GB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𝑢 (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1+(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en-GB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𝑐^2)/2)] </a:t>
              </a:r>
              <a:endParaRPr lang="en-GB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126999</xdr:colOff>
      <xdr:row>24</xdr:row>
      <xdr:rowOff>42331</xdr:rowOff>
    </xdr:from>
    <xdr:to>
      <xdr:col>7</xdr:col>
      <xdr:colOff>26123</xdr:colOff>
      <xdr:row>27</xdr:row>
      <xdr:rowOff>88885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4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26999" y="4815414"/>
              <a:ext cx="4195957" cy="618054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̿"/>
                        <m:ctrlPr>
                          <a:rPr lang="en-GB" sz="16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60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</m:acc>
                    <m:r>
                      <a:rPr lang="en-GB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GB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6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nary>
                      <m:naryPr>
                        <m:chr m:val="∑"/>
                        <m:supHide m:val="on"/>
                        <m:ctrlPr>
                          <a:rPr lang="en-GB" sz="16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6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/>
                      <m:e>
                        <m:d>
                          <m:dPr>
                            <m:begChr m:val="["/>
                            <m:endChr m:val="]"/>
                            <m:ctrlPr>
                              <a:rPr lang="en-GB" sz="16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6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60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b>
                                <m:r>
                                  <a:rPr lang="en-GB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  <m:r>
                                  <a:rPr lang="en-GB" sz="160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GB" sz="16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n-GB" sz="16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GB" sz="160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  <m:d>
                                  <m:dPr>
                                    <m:ctrlPr>
                                      <a:rPr lang="en-GB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6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GB" sz="16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𝜆</m:t>
                                        </m:r>
                                      </m:e>
                                      <m:sub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</a:rPr>
                                          <m:t>𝑛</m:t>
                                        </m:r>
                                      </m:sub>
                                    </m:sSub>
                                    <m:r>
                                      <a:rPr lang="en-GB" sz="1600" i="1">
                                        <a:latin typeface="Cambria Math" panose="02040503050406030204" pitchFamily="18" charset="0"/>
                                      </a:rPr>
                                      <m:t>+</m:t>
                                    </m:r>
                                    <m:sSubSup>
                                      <m:sSubSupPr>
                                        <m:ctrlPr>
                                          <a:rPr lang="en-GB" sz="16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𝜆</m:t>
                                        </m:r>
                                      </m:e>
                                      <m:sub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𝑛</m:t>
                                        </m:r>
                                      </m:sub>
                                      <m:sup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bSup>
                                  </m:e>
                                </m:d>
                              </m:num>
                              <m:den>
                                <m:r>
                                  <a:rPr lang="en-GB" sz="16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3</m:t>
                                </m:r>
                                <m:d>
                                  <m:dPr>
                                    <m:ctrlPr>
                                      <a:rPr lang="en-GB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6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GB" sz="16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𝜆</m:t>
                                        </m:r>
                                      </m:e>
                                      <m:sub>
                                        <m:r>
                                          <a:rPr lang="en-GB" sz="1600" i="1">
                                            <a:latin typeface="Cambria Math" panose="02040503050406030204" pitchFamily="18" charset="0"/>
                                          </a:rPr>
                                          <m:t>𝑛</m:t>
                                        </m:r>
                                      </m:sub>
                                    </m:sSub>
                                  </m:e>
                                </m:d>
                              </m:den>
                            </m:f>
                          </m:e>
                        </m:d>
                        <m:sSub>
                          <m:sSubPr>
                            <m:ctrlPr>
                              <a:rPr lang="en-GB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6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GB" sz="16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34"/>
            <xdr:cNvSpPr txBox="1"/>
          </xdr:nvSpPr>
          <xdr:spPr>
            <a:xfrm>
              <a:off x="126999" y="4815414"/>
              <a:ext cx="4195957" cy="618054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:r>
                <a:rPr lang="en-GB" sz="1600" i="0">
                  <a:latin typeface="Cambria Math" panose="02040503050406030204" pitchFamily="18" charset="0"/>
                </a:rPr>
                <a:t>𝑐 ̿</a:t>
              </a:r>
              <a:r>
                <a:rPr lang="en-GB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GB" sz="1600" b="0" i="0">
                  <a:latin typeface="Cambria Math" panose="02040503050406030204" pitchFamily="18" charset="0"/>
                </a:rPr>
                <a:t>1/</a:t>
              </a:r>
              <a:r>
                <a:rPr lang="en-GB" sz="1600" i="0">
                  <a:latin typeface="Cambria Math" panose="02040503050406030204" pitchFamily="18" charset="0"/>
                </a:rPr>
                <a:t>𝑆_</a:t>
              </a:r>
              <a:r>
                <a:rPr lang="en-GB" sz="1600" b="0" i="0">
                  <a:latin typeface="Cambria Math" panose="02040503050406030204" pitchFamily="18" charset="0"/>
                </a:rPr>
                <a:t>𝑡𝑜𝑡𝑎𝑙  ∑_𝑛▒〖[</a:t>
              </a:r>
              <a:r>
                <a:rPr lang="en-GB" sz="1600" i="0">
                  <a:latin typeface="Cambria Math" panose="02040503050406030204" pitchFamily="18" charset="0"/>
                </a:rPr>
                <a:t>𝑐_(𝑟,𝑛)  2(1+</a:t>
              </a:r>
              <a:r>
                <a:rPr lang="en-GB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GB" sz="1600" i="0">
                  <a:latin typeface="Cambria Math" panose="02040503050406030204" pitchFamily="18" charset="0"/>
                </a:rPr>
                <a:t>𝑛+</a:t>
              </a:r>
              <a:r>
                <a:rPr lang="en-GB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𝜆_𝑛^2 )/3(</a:t>
              </a:r>
              <a:r>
                <a:rPr lang="en-GB" sz="1600" i="0">
                  <a:latin typeface="Cambria Math" panose="02040503050406030204" pitchFamily="18" charset="0"/>
                </a:rPr>
                <a:t>1+</a:t>
              </a:r>
              <a:r>
                <a:rPr lang="en-GB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GB" sz="1600" i="0">
                  <a:latin typeface="Cambria Math" panose="02040503050406030204" pitchFamily="18" charset="0"/>
                </a:rPr>
                <a:t>𝑛 ) ] 𝑆_𝑛 </a:t>
              </a:r>
              <a:r>
                <a:rPr lang="en-GB" sz="1600" b="0" i="0">
                  <a:latin typeface="Cambria Math" panose="02040503050406030204" pitchFamily="18" charset="0"/>
                </a:rPr>
                <a:t>〗</a:t>
              </a:r>
              <a:endParaRPr lang="en-GB" sz="16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580190</xdr:colOff>
      <xdr:row>0</xdr:row>
      <xdr:rowOff>160766</xdr:rowOff>
    </xdr:from>
    <xdr:to>
      <xdr:col>15</xdr:col>
      <xdr:colOff>117696</xdr:colOff>
      <xdr:row>30</xdr:row>
      <xdr:rowOff>82660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7</xdr:row>
          <xdr:rowOff>60960</xdr:rowOff>
        </xdr:from>
        <xdr:to>
          <xdr:col>2</xdr:col>
          <xdr:colOff>579120</xdr:colOff>
          <xdr:row>8</xdr:row>
          <xdr:rowOff>106680</xdr:rowOff>
        </xdr:to>
        <xdr:sp macro="" textlink="">
          <xdr:nvSpPr>
            <xdr:cNvPr id="7183" name="Button 15" descr="Align MAC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6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Align Tail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BEE0A-75E4-47BC-86D9-F956C6A6C247}">
  <sheetPr codeName="Sheet11"/>
  <dimension ref="A1:AE95"/>
  <sheetViews>
    <sheetView zoomScale="70" zoomScaleNormal="70" workbookViewId="0">
      <pane ySplit="1" topLeftCell="A2" activePane="bottomLeft" state="frozen"/>
      <selection activeCell="D15" sqref="D15"/>
      <selection pane="bottomLeft" activeCell="W81" sqref="W81"/>
    </sheetView>
  </sheetViews>
  <sheetFormatPr defaultColWidth="8.88671875" defaultRowHeight="14.4"/>
  <cols>
    <col min="1" max="1" width="16" bestFit="1" customWidth="1"/>
    <col min="2" max="2" width="15.88671875" bestFit="1" customWidth="1"/>
    <col min="3" max="3" width="9.44140625" style="87" bestFit="1" customWidth="1"/>
    <col min="4" max="4" width="8.5546875" style="87" bestFit="1" customWidth="1"/>
    <col min="5" max="8" width="9.6640625" style="70" customWidth="1"/>
    <col min="9" max="9" width="11.5546875" style="70" customWidth="1"/>
    <col min="10" max="10" width="9.6640625" style="70" customWidth="1"/>
    <col min="11" max="11" width="11.44140625" style="70" customWidth="1"/>
    <col min="12" max="12" width="10.6640625" style="70" bestFit="1" customWidth="1"/>
    <col min="13" max="13" width="9.44140625" style="70" customWidth="1"/>
    <col min="14" max="14" width="8.109375" customWidth="1"/>
    <col min="15" max="15" width="12.33203125" customWidth="1"/>
    <col min="16" max="16" width="15.33203125" style="2" customWidth="1"/>
    <col min="17" max="17" width="9.6640625" style="2" customWidth="1"/>
  </cols>
  <sheetData>
    <row r="1" spans="1:31" s="168" customFormat="1" ht="43.2">
      <c r="A1" s="163" t="s">
        <v>300</v>
      </c>
      <c r="B1" s="163" t="s">
        <v>301</v>
      </c>
      <c r="C1" s="171" t="s">
        <v>302</v>
      </c>
      <c r="D1" s="171" t="s">
        <v>303</v>
      </c>
      <c r="E1" s="163" t="s">
        <v>304</v>
      </c>
      <c r="F1" s="163" t="s">
        <v>305</v>
      </c>
      <c r="G1" s="163" t="s">
        <v>306</v>
      </c>
      <c r="H1" s="163" t="s">
        <v>307</v>
      </c>
      <c r="I1" s="163" t="s">
        <v>308</v>
      </c>
      <c r="J1" s="163" t="s">
        <v>309</v>
      </c>
      <c r="K1" s="163" t="s">
        <v>310</v>
      </c>
      <c r="L1" s="163" t="s">
        <v>311</v>
      </c>
      <c r="M1" s="163" t="s">
        <v>312</v>
      </c>
      <c r="N1" s="163"/>
      <c r="O1" s="163" t="s">
        <v>300</v>
      </c>
      <c r="P1" s="163" t="s">
        <v>301</v>
      </c>
      <c r="Q1" s="171" t="s">
        <v>302</v>
      </c>
      <c r="R1" s="163" t="s">
        <v>304</v>
      </c>
      <c r="S1" s="163" t="s">
        <v>306</v>
      </c>
      <c r="T1" s="163" t="s">
        <v>307</v>
      </c>
      <c r="U1" s="163" t="s">
        <v>308</v>
      </c>
      <c r="V1" s="163" t="s">
        <v>309</v>
      </c>
      <c r="W1" s="163" t="s">
        <v>310</v>
      </c>
      <c r="X1" s="168" t="s">
        <v>421</v>
      </c>
      <c r="Y1" s="168" t="s">
        <v>422</v>
      </c>
      <c r="AB1" s="168" t="s">
        <v>423</v>
      </c>
    </row>
    <row r="2" spans="1:31">
      <c r="A2" s="293" t="s">
        <v>375</v>
      </c>
      <c r="B2" s="87" t="s">
        <v>376</v>
      </c>
      <c r="C2" s="172"/>
      <c r="D2" s="87">
        <v>1998</v>
      </c>
      <c r="E2" s="164">
        <v>10118</v>
      </c>
      <c r="F2" s="164">
        <v>13070</v>
      </c>
      <c r="G2" s="164">
        <v>15600</v>
      </c>
      <c r="H2" s="164">
        <v>14390</v>
      </c>
      <c r="I2" s="164">
        <f t="shared" ref="I2:I33" si="0">F2-E2</f>
        <v>2952</v>
      </c>
      <c r="J2" s="166">
        <v>2001</v>
      </c>
      <c r="K2">
        <v>30</v>
      </c>
      <c r="L2" s="1">
        <v>53.8</v>
      </c>
      <c r="M2" s="56">
        <v>40</v>
      </c>
      <c r="N2" s="170"/>
      <c r="O2" s="170"/>
      <c r="P2" s="169"/>
      <c r="Q2" s="169"/>
      <c r="X2" t="s">
        <v>424</v>
      </c>
      <c r="Y2" t="s">
        <v>425</v>
      </c>
    </row>
    <row r="3" spans="1:31">
      <c r="A3" s="293" t="s">
        <v>366</v>
      </c>
      <c r="B3" s="87" t="s">
        <v>372</v>
      </c>
      <c r="C3" s="172">
        <v>16.973549999999999</v>
      </c>
      <c r="D3" s="87">
        <v>2001</v>
      </c>
      <c r="E3" s="164">
        <v>11402</v>
      </c>
      <c r="F3" s="164">
        <v>15600</v>
      </c>
      <c r="G3" s="164">
        <v>19000</v>
      </c>
      <c r="H3" s="164">
        <v>18500</v>
      </c>
      <c r="I3" s="164">
        <f t="shared" si="0"/>
        <v>4198</v>
      </c>
      <c r="J3" s="167">
        <v>1300</v>
      </c>
      <c r="K3">
        <v>37</v>
      </c>
      <c r="L3" s="1">
        <v>62.94</v>
      </c>
      <c r="M3" s="56">
        <v>51.18</v>
      </c>
      <c r="N3" s="170"/>
      <c r="O3" s="170"/>
      <c r="P3" s="169"/>
      <c r="Q3" s="169"/>
    </row>
    <row r="4" spans="1:31">
      <c r="A4" s="293" t="s">
        <v>366</v>
      </c>
      <c r="B4" s="87" t="s">
        <v>373</v>
      </c>
      <c r="C4" s="172">
        <v>18.5166</v>
      </c>
      <c r="D4" s="87">
        <v>2000</v>
      </c>
      <c r="E4" s="164">
        <v>11816</v>
      </c>
      <c r="F4" s="164">
        <v>17100</v>
      </c>
      <c r="G4" s="164">
        <v>20100</v>
      </c>
      <c r="H4" s="164">
        <v>18700</v>
      </c>
      <c r="I4" s="164">
        <f t="shared" si="0"/>
        <v>5284</v>
      </c>
      <c r="J4" s="167">
        <v>1250</v>
      </c>
      <c r="K4">
        <v>44</v>
      </c>
      <c r="L4" s="1">
        <v>62.94</v>
      </c>
      <c r="M4" s="56">
        <v>51.18</v>
      </c>
      <c r="N4" s="170"/>
      <c r="O4" s="170"/>
      <c r="P4" s="169"/>
      <c r="Q4" s="169"/>
    </row>
    <row r="5" spans="1:31">
      <c r="A5" s="293" t="s">
        <v>366</v>
      </c>
      <c r="B5" s="87" t="s">
        <v>374</v>
      </c>
      <c r="C5" s="172">
        <v>27.723464999999997</v>
      </c>
      <c r="D5" s="87">
        <v>1996</v>
      </c>
      <c r="E5" s="164">
        <v>12038</v>
      </c>
      <c r="F5" s="164">
        <v>17900</v>
      </c>
      <c r="G5" s="164">
        <v>19990</v>
      </c>
      <c r="H5" s="164">
        <v>19300</v>
      </c>
      <c r="I5" s="164">
        <f t="shared" si="0"/>
        <v>5862</v>
      </c>
      <c r="J5" s="167">
        <v>900</v>
      </c>
      <c r="K5">
        <v>50</v>
      </c>
      <c r="L5" s="1">
        <v>72.66</v>
      </c>
      <c r="M5" s="56">
        <v>51.18</v>
      </c>
      <c r="N5" s="170"/>
      <c r="O5" s="293" t="s">
        <v>358</v>
      </c>
      <c r="P5" s="294" t="s">
        <v>363</v>
      </c>
      <c r="Q5" s="172">
        <v>43.205399999999997</v>
      </c>
      <c r="R5" s="164">
        <v>21433</v>
      </c>
      <c r="S5" s="164">
        <v>38330</v>
      </c>
      <c r="T5" s="164">
        <v>34019</v>
      </c>
      <c r="U5" s="164">
        <v>10591</v>
      </c>
      <c r="V5" s="166">
        <v>1719</v>
      </c>
      <c r="W5">
        <v>75</v>
      </c>
      <c r="X5" s="51">
        <v>3.0472214975215235</v>
      </c>
      <c r="Y5" s="51">
        <v>542.84095737147709</v>
      </c>
      <c r="AA5" s="164"/>
      <c r="AB5" s="164">
        <v>21433</v>
      </c>
      <c r="AD5" s="297"/>
      <c r="AE5" s="296"/>
    </row>
    <row r="6" spans="1:31">
      <c r="A6" s="293" t="s">
        <v>358</v>
      </c>
      <c r="B6" s="87" t="s">
        <v>364</v>
      </c>
      <c r="C6" s="172">
        <v>29.657420999999996</v>
      </c>
      <c r="D6" s="87">
        <v>1991</v>
      </c>
      <c r="E6" s="164">
        <v>13740</v>
      </c>
      <c r="F6" s="164">
        <v>19958</v>
      </c>
      <c r="G6" s="164">
        <v>24041</v>
      </c>
      <c r="H6" s="164">
        <v>21319</v>
      </c>
      <c r="I6" s="164">
        <f t="shared" si="0"/>
        <v>6218</v>
      </c>
      <c r="J6" s="166">
        <v>1644</v>
      </c>
      <c r="K6">
        <v>50</v>
      </c>
      <c r="L6" s="1">
        <v>77.66</v>
      </c>
      <c r="M6" s="56">
        <v>48.35</v>
      </c>
      <c r="N6" s="170"/>
      <c r="O6" s="293" t="s">
        <v>358</v>
      </c>
      <c r="P6" s="294" t="s">
        <v>361</v>
      </c>
      <c r="Q6" s="172">
        <v>42.588179999999994</v>
      </c>
      <c r="R6" s="164">
        <v>19731</v>
      </c>
      <c r="S6" s="164">
        <v>34019</v>
      </c>
      <c r="T6" s="164">
        <v>30391</v>
      </c>
      <c r="U6" s="164">
        <v>8528</v>
      </c>
      <c r="V6" s="167">
        <v>1092</v>
      </c>
      <c r="W6">
        <v>78</v>
      </c>
      <c r="X6" s="51">
        <v>3.3157941150533525</v>
      </c>
      <c r="Y6" s="51">
        <v>481.78728225463817</v>
      </c>
      <c r="AA6" s="164"/>
      <c r="AB6" s="164">
        <v>19731</v>
      </c>
      <c r="AD6" s="297"/>
      <c r="AE6" s="296"/>
    </row>
    <row r="7" spans="1:31">
      <c r="A7" s="293" t="s">
        <v>366</v>
      </c>
      <c r="B7" s="87" t="s">
        <v>371</v>
      </c>
      <c r="C7" s="172">
        <v>24.688800000000001</v>
      </c>
      <c r="D7" s="87">
        <v>2002</v>
      </c>
      <c r="E7" s="164">
        <v>12591</v>
      </c>
      <c r="F7" s="164">
        <v>18500</v>
      </c>
      <c r="G7" s="164">
        <v>24100</v>
      </c>
      <c r="H7" s="164">
        <v>20000</v>
      </c>
      <c r="I7" s="164">
        <f t="shared" si="0"/>
        <v>5909</v>
      </c>
      <c r="J7" s="166">
        <v>2000</v>
      </c>
      <c r="K7">
        <v>50</v>
      </c>
      <c r="L7" s="1">
        <v>77.7</v>
      </c>
      <c r="M7" s="56">
        <v>51.18</v>
      </c>
      <c r="N7" s="170"/>
      <c r="O7" s="293" t="s">
        <v>377</v>
      </c>
      <c r="P7" s="294" t="s">
        <v>378</v>
      </c>
      <c r="Q7" s="172"/>
      <c r="R7" s="164">
        <v>22673</v>
      </c>
      <c r="S7" s="164">
        <v>41730</v>
      </c>
      <c r="T7" s="164">
        <v>36740</v>
      </c>
      <c r="U7" s="164">
        <v>10892</v>
      </c>
      <c r="V7" s="166">
        <v>1790</v>
      </c>
      <c r="W7">
        <v>79</v>
      </c>
      <c r="X7" s="51">
        <v>2.9523124850227656</v>
      </c>
      <c r="Y7" s="51">
        <v>446.31016042780749</v>
      </c>
      <c r="AA7" s="164"/>
      <c r="AB7" s="164">
        <v>22673</v>
      </c>
      <c r="AD7" s="297"/>
      <c r="AE7" s="296"/>
    </row>
    <row r="8" spans="1:31">
      <c r="A8" s="293" t="s">
        <v>366</v>
      </c>
      <c r="B8" s="87" t="s">
        <v>370</v>
      </c>
      <c r="C8" s="172">
        <v>42.444161999999999</v>
      </c>
      <c r="D8" s="87">
        <v>2002</v>
      </c>
      <c r="E8" s="164">
        <v>21121</v>
      </c>
      <c r="F8" s="164">
        <v>30140</v>
      </c>
      <c r="G8" s="164">
        <v>35990</v>
      </c>
      <c r="H8" s="164">
        <v>32800</v>
      </c>
      <c r="I8" s="164">
        <f t="shared" si="0"/>
        <v>9019</v>
      </c>
      <c r="J8" s="166">
        <v>1800</v>
      </c>
      <c r="K8">
        <v>70</v>
      </c>
      <c r="L8" s="1">
        <v>126.32</v>
      </c>
      <c r="M8" s="56">
        <v>72.72</v>
      </c>
      <c r="N8" s="170"/>
      <c r="O8" s="293" t="s">
        <v>394</v>
      </c>
      <c r="P8" s="294" t="s">
        <v>365</v>
      </c>
      <c r="Q8" s="172"/>
      <c r="R8" s="164">
        <v>24600</v>
      </c>
      <c r="S8" s="164">
        <v>42184</v>
      </c>
      <c r="T8" s="164">
        <v>40143</v>
      </c>
      <c r="U8" s="164">
        <v>11233</v>
      </c>
      <c r="V8" s="167">
        <v>1366</v>
      </c>
      <c r="W8">
        <v>85</v>
      </c>
      <c r="X8" s="51">
        <v>2.9518300777545985</v>
      </c>
      <c r="Y8" s="51">
        <v>545.71798188874516</v>
      </c>
      <c r="AA8" s="164"/>
      <c r="AB8" s="164">
        <v>24600</v>
      </c>
      <c r="AD8" s="297"/>
      <c r="AE8" s="296"/>
    </row>
    <row r="9" spans="1:31">
      <c r="A9" s="293" t="s">
        <v>358</v>
      </c>
      <c r="B9" s="294" t="s">
        <v>363</v>
      </c>
      <c r="C9" s="172">
        <v>43.205399999999997</v>
      </c>
      <c r="D9" s="87">
        <v>2001</v>
      </c>
      <c r="E9" s="164">
        <v>21433</v>
      </c>
      <c r="F9" s="164">
        <v>32024</v>
      </c>
      <c r="G9" s="164">
        <v>38330</v>
      </c>
      <c r="H9" s="164">
        <v>34019</v>
      </c>
      <c r="I9" s="164">
        <f t="shared" si="0"/>
        <v>10591</v>
      </c>
      <c r="J9" s="166">
        <v>1719</v>
      </c>
      <c r="K9">
        <v>75</v>
      </c>
      <c r="L9" s="1">
        <v>116.8</v>
      </c>
      <c r="M9" s="56">
        <v>70.61</v>
      </c>
      <c r="N9" s="170"/>
      <c r="O9" s="293" t="s">
        <v>366</v>
      </c>
      <c r="P9" s="294" t="s">
        <v>369</v>
      </c>
      <c r="Q9" s="172">
        <v>50.591465999999997</v>
      </c>
      <c r="R9" s="164">
        <v>21870</v>
      </c>
      <c r="S9" s="164">
        <v>37500</v>
      </c>
      <c r="T9" s="164">
        <v>34000</v>
      </c>
      <c r="U9" s="164">
        <v>9830</v>
      </c>
      <c r="V9" s="166">
        <v>1750</v>
      </c>
      <c r="W9">
        <v>88</v>
      </c>
      <c r="X9" s="51">
        <v>3.3685333333333332</v>
      </c>
      <c r="Y9" s="51">
        <v>515.67656765676566</v>
      </c>
      <c r="AA9" s="164"/>
      <c r="AB9" s="164">
        <v>21870</v>
      </c>
      <c r="AD9" s="297"/>
      <c r="AE9" s="296"/>
    </row>
    <row r="10" spans="1:31">
      <c r="A10" s="293" t="s">
        <v>358</v>
      </c>
      <c r="B10" s="294" t="s">
        <v>361</v>
      </c>
      <c r="C10" s="172">
        <v>42.588179999999994</v>
      </c>
      <c r="D10" s="87">
        <v>2005</v>
      </c>
      <c r="E10" s="164">
        <v>19731</v>
      </c>
      <c r="F10" s="164">
        <v>28259</v>
      </c>
      <c r="G10" s="164">
        <v>34019</v>
      </c>
      <c r="H10" s="164">
        <v>30391</v>
      </c>
      <c r="I10" s="164">
        <f t="shared" si="0"/>
        <v>8528</v>
      </c>
      <c r="J10" s="167">
        <v>1092</v>
      </c>
      <c r="K10">
        <v>78</v>
      </c>
      <c r="L10" s="1">
        <v>112.8</v>
      </c>
      <c r="M10" s="56">
        <v>70.61</v>
      </c>
      <c r="N10" s="170"/>
      <c r="O10" s="293" t="s">
        <v>358</v>
      </c>
      <c r="P10" s="294" t="s">
        <v>362</v>
      </c>
      <c r="Q10" s="172">
        <v>47.83455</v>
      </c>
      <c r="R10" s="164">
        <v>21432</v>
      </c>
      <c r="S10" s="164">
        <v>36514</v>
      </c>
      <c r="T10" s="164">
        <v>33340</v>
      </c>
      <c r="U10" s="164">
        <v>10319</v>
      </c>
      <c r="V10" s="167">
        <v>938</v>
      </c>
      <c r="W10">
        <v>90</v>
      </c>
      <c r="X10" s="51">
        <v>3.1987730733417319</v>
      </c>
      <c r="Y10" s="51">
        <v>517.12222064863329</v>
      </c>
      <c r="AA10" s="164"/>
      <c r="AB10" s="164">
        <v>21432</v>
      </c>
      <c r="AD10" s="297"/>
      <c r="AE10" s="296"/>
    </row>
    <row r="11" spans="1:31">
      <c r="A11" s="293" t="s">
        <v>377</v>
      </c>
      <c r="B11" s="294" t="s">
        <v>378</v>
      </c>
      <c r="C11" s="172"/>
      <c r="D11" s="87">
        <v>1993</v>
      </c>
      <c r="E11" s="164">
        <v>22673</v>
      </c>
      <c r="F11" s="164">
        <v>33565</v>
      </c>
      <c r="G11" s="164">
        <v>41730</v>
      </c>
      <c r="H11" s="164">
        <v>36740</v>
      </c>
      <c r="I11" s="164">
        <f t="shared" si="0"/>
        <v>10892</v>
      </c>
      <c r="J11" s="166">
        <v>1790</v>
      </c>
      <c r="K11">
        <v>79</v>
      </c>
      <c r="L11" s="1">
        <v>123.2</v>
      </c>
      <c r="M11" s="56">
        <v>93.5</v>
      </c>
      <c r="N11" s="170"/>
      <c r="O11" s="293" t="s">
        <v>389</v>
      </c>
      <c r="P11" s="294" t="s">
        <v>391</v>
      </c>
      <c r="Q11" s="172">
        <v>27.3</v>
      </c>
      <c r="R11" s="164">
        <v>24250</v>
      </c>
      <c r="S11" s="164">
        <v>45880</v>
      </c>
      <c r="T11" s="164">
        <v>41000</v>
      </c>
      <c r="U11" s="164">
        <v>15750</v>
      </c>
      <c r="V11" s="166">
        <v>1645</v>
      </c>
      <c r="W11">
        <v>98</v>
      </c>
      <c r="X11" s="51">
        <v>3.3958151700087189</v>
      </c>
      <c r="Y11" s="51">
        <v>546.19047619047615</v>
      </c>
      <c r="AA11" s="164"/>
      <c r="AB11" s="164">
        <v>24250</v>
      </c>
      <c r="AD11" s="297"/>
      <c r="AE11" s="296"/>
    </row>
    <row r="12" spans="1:31">
      <c r="A12" s="293" t="s">
        <v>394</v>
      </c>
      <c r="B12" s="294" t="s">
        <v>365</v>
      </c>
      <c r="C12" s="172"/>
      <c r="D12" s="87">
        <v>1983</v>
      </c>
      <c r="E12" s="164">
        <v>24600</v>
      </c>
      <c r="F12" s="164">
        <v>35833</v>
      </c>
      <c r="G12" s="164">
        <v>42184</v>
      </c>
      <c r="H12" s="164">
        <v>40143</v>
      </c>
      <c r="I12" s="164">
        <f t="shared" si="0"/>
        <v>11233</v>
      </c>
      <c r="J12" s="167">
        <v>1366</v>
      </c>
      <c r="K12">
        <v>85</v>
      </c>
      <c r="L12" s="1">
        <v>124.52</v>
      </c>
      <c r="M12" s="56">
        <v>77.3</v>
      </c>
      <c r="N12" s="170"/>
      <c r="O12" s="293" t="s">
        <v>358</v>
      </c>
      <c r="P12" s="294" t="s">
        <v>360</v>
      </c>
      <c r="Q12" s="172">
        <v>50.920649999999995</v>
      </c>
      <c r="R12" s="164">
        <v>23179</v>
      </c>
      <c r="S12" s="164">
        <v>41640</v>
      </c>
      <c r="T12" s="164">
        <v>36968</v>
      </c>
      <c r="U12" s="164">
        <v>11975</v>
      </c>
      <c r="V12" s="167">
        <v>1425</v>
      </c>
      <c r="W12">
        <v>104</v>
      </c>
      <c r="X12" s="51">
        <v>2.9106628242074928</v>
      </c>
      <c r="Y12" s="51">
        <v>537.98449612403101</v>
      </c>
      <c r="AA12" s="164"/>
      <c r="AB12" s="164">
        <v>23179</v>
      </c>
      <c r="AD12" s="297"/>
      <c r="AE12" s="296"/>
    </row>
    <row r="13" spans="1:31">
      <c r="A13" s="293" t="s">
        <v>366</v>
      </c>
      <c r="B13" s="294" t="s">
        <v>369</v>
      </c>
      <c r="C13" s="172">
        <v>50.591465999999997</v>
      </c>
      <c r="D13" s="87">
        <v>2003</v>
      </c>
      <c r="E13" s="164">
        <v>21870</v>
      </c>
      <c r="F13" s="164">
        <v>31700</v>
      </c>
      <c r="G13" s="164">
        <v>37500</v>
      </c>
      <c r="H13" s="164">
        <v>34000</v>
      </c>
      <c r="I13" s="164">
        <f t="shared" si="0"/>
        <v>9830</v>
      </c>
      <c r="J13" s="166">
        <v>1750</v>
      </c>
      <c r="K13">
        <v>88</v>
      </c>
      <c r="L13" s="1">
        <v>126.32</v>
      </c>
      <c r="M13" s="56">
        <v>72.72</v>
      </c>
      <c r="N13" s="170"/>
      <c r="O13" s="293" t="s">
        <v>329</v>
      </c>
      <c r="P13" s="295" t="s">
        <v>341</v>
      </c>
      <c r="Q13" s="172">
        <v>53.656991999999995</v>
      </c>
      <c r="R13" s="164">
        <v>31130</v>
      </c>
      <c r="S13" s="164">
        <v>54880</v>
      </c>
      <c r="T13" s="164">
        <v>49898</v>
      </c>
      <c r="U13" s="164">
        <v>14450</v>
      </c>
      <c r="V13" s="166">
        <v>2060</v>
      </c>
      <c r="W13">
        <v>106</v>
      </c>
      <c r="X13" s="51">
        <v>3.5677842565597668</v>
      </c>
      <c r="Y13" s="51">
        <v>590.29794557384105</v>
      </c>
      <c r="AA13" s="164"/>
      <c r="AB13" s="164">
        <v>31130</v>
      </c>
      <c r="AD13" s="297"/>
      <c r="AE13" s="296"/>
    </row>
    <row r="14" spans="1:31">
      <c r="A14" s="293" t="s">
        <v>358</v>
      </c>
      <c r="B14" s="294" t="s">
        <v>362</v>
      </c>
      <c r="C14" s="172">
        <v>47.83455</v>
      </c>
      <c r="D14" s="87">
        <v>2003</v>
      </c>
      <c r="E14" s="164">
        <v>21432</v>
      </c>
      <c r="F14" s="164">
        <v>31751</v>
      </c>
      <c r="G14" s="164">
        <v>36514</v>
      </c>
      <c r="H14" s="164">
        <v>33340</v>
      </c>
      <c r="I14" s="164">
        <f t="shared" si="0"/>
        <v>10319</v>
      </c>
      <c r="J14" s="167">
        <v>938</v>
      </c>
      <c r="K14">
        <v>90</v>
      </c>
      <c r="L14" s="1">
        <v>116.8</v>
      </c>
      <c r="M14" s="56">
        <v>70.61</v>
      </c>
      <c r="N14" s="170"/>
      <c r="O14" s="293" t="s">
        <v>366</v>
      </c>
      <c r="P14" s="294" t="s">
        <v>368</v>
      </c>
      <c r="Q14" s="172">
        <v>57.936383999999997</v>
      </c>
      <c r="R14" s="164">
        <v>27737</v>
      </c>
      <c r="S14" s="164">
        <v>47790</v>
      </c>
      <c r="T14" s="164">
        <v>43000</v>
      </c>
      <c r="U14" s="164">
        <v>13063</v>
      </c>
      <c r="V14" s="166">
        <v>1850</v>
      </c>
      <c r="W14">
        <v>114</v>
      </c>
      <c r="X14" s="51">
        <v>3.4689265536723166</v>
      </c>
      <c r="Y14" s="51">
        <v>516.48114125148595</v>
      </c>
      <c r="AA14" s="164"/>
      <c r="AB14" s="164">
        <v>27737</v>
      </c>
      <c r="AD14" s="297"/>
      <c r="AE14" s="296"/>
    </row>
    <row r="15" spans="1:31">
      <c r="A15" s="293" t="s">
        <v>389</v>
      </c>
      <c r="B15" s="294" t="s">
        <v>391</v>
      </c>
      <c r="C15" s="172">
        <v>27.3</v>
      </c>
      <c r="D15" s="87">
        <v>2008</v>
      </c>
      <c r="E15" s="164">
        <v>24250</v>
      </c>
      <c r="F15" s="164">
        <v>40000</v>
      </c>
      <c r="G15" s="164">
        <v>45880</v>
      </c>
      <c r="H15" s="164">
        <v>41000</v>
      </c>
      <c r="I15" s="164">
        <f t="shared" si="0"/>
        <v>15750</v>
      </c>
      <c r="J15" s="166">
        <v>1645</v>
      </c>
      <c r="K15">
        <v>98</v>
      </c>
      <c r="L15" s="1">
        <v>155.80000000000001</v>
      </c>
      <c r="M15" s="56">
        <v>84</v>
      </c>
      <c r="N15" s="170"/>
      <c r="O15" s="293" t="s">
        <v>329</v>
      </c>
      <c r="P15" s="294" t="s">
        <v>350</v>
      </c>
      <c r="Q15" s="172">
        <v>61.968888</v>
      </c>
      <c r="R15" s="164">
        <v>31311</v>
      </c>
      <c r="S15" s="164">
        <v>61915</v>
      </c>
      <c r="T15" s="164">
        <v>49895</v>
      </c>
      <c r="U15" s="164">
        <v>15409</v>
      </c>
      <c r="V15" s="166">
        <v>2402</v>
      </c>
      <c r="W15">
        <v>122</v>
      </c>
      <c r="X15" s="51">
        <v>2.6584834046676895</v>
      </c>
      <c r="Y15" s="51">
        <v>680.08567662565895</v>
      </c>
      <c r="AA15" s="164"/>
      <c r="AB15" s="164">
        <v>31311</v>
      </c>
      <c r="AD15" s="297"/>
      <c r="AE15" s="296"/>
    </row>
    <row r="16" spans="1:31">
      <c r="A16" s="293" t="s">
        <v>389</v>
      </c>
      <c r="B16" s="294" t="s">
        <v>390</v>
      </c>
      <c r="C16" s="172">
        <v>37.799999999999997</v>
      </c>
      <c r="D16" s="87">
        <v>2014</v>
      </c>
      <c r="E16" s="164">
        <v>25100</v>
      </c>
      <c r="F16" s="164">
        <v>40000</v>
      </c>
      <c r="G16" s="164">
        <v>49450</v>
      </c>
      <c r="H16" s="164">
        <v>41000</v>
      </c>
      <c r="I16" s="164">
        <f t="shared" si="0"/>
        <v>14900</v>
      </c>
      <c r="J16" s="166">
        <v>2470</v>
      </c>
      <c r="K16">
        <v>98</v>
      </c>
      <c r="L16" s="1">
        <v>158.4</v>
      </c>
      <c r="M16" s="56">
        <v>84</v>
      </c>
      <c r="N16" s="170"/>
      <c r="O16" s="293" t="s">
        <v>366</v>
      </c>
      <c r="P16" s="294" t="s">
        <v>367</v>
      </c>
      <c r="Q16" s="172">
        <v>65.291589000000002</v>
      </c>
      <c r="R16" s="164">
        <v>28567</v>
      </c>
      <c r="S16" s="164">
        <v>48790</v>
      </c>
      <c r="T16" s="164">
        <v>45000</v>
      </c>
      <c r="U16" s="164">
        <v>13933</v>
      </c>
      <c r="V16" s="166">
        <v>1600</v>
      </c>
      <c r="W16">
        <v>124</v>
      </c>
      <c r="X16" s="51">
        <v>3.3978274236523878</v>
      </c>
      <c r="Y16" s="51">
        <v>527.28844699016531</v>
      </c>
      <c r="AA16" s="164"/>
      <c r="AB16" s="164">
        <v>28567</v>
      </c>
      <c r="AD16" s="297"/>
      <c r="AE16" s="296"/>
    </row>
    <row r="17" spans="1:31">
      <c r="A17" s="293" t="s">
        <v>358</v>
      </c>
      <c r="B17" s="294" t="s">
        <v>360</v>
      </c>
      <c r="C17" s="172">
        <v>50.920649999999995</v>
      </c>
      <c r="D17" s="87">
        <v>2009</v>
      </c>
      <c r="E17" s="164">
        <v>23179</v>
      </c>
      <c r="F17" s="164">
        <v>35154</v>
      </c>
      <c r="G17" s="164">
        <v>41640</v>
      </c>
      <c r="H17" s="164">
        <v>36968</v>
      </c>
      <c r="I17" s="164">
        <f t="shared" si="0"/>
        <v>11975</v>
      </c>
      <c r="J17" s="167">
        <v>1425</v>
      </c>
      <c r="K17">
        <v>104</v>
      </c>
      <c r="L17" s="1">
        <v>121.2</v>
      </c>
      <c r="M17" s="56">
        <v>77.400000000000006</v>
      </c>
      <c r="N17" s="170"/>
      <c r="O17" s="293" t="s">
        <v>381</v>
      </c>
      <c r="P17" s="294" t="s">
        <v>385</v>
      </c>
      <c r="Q17" s="172"/>
      <c r="R17" s="164">
        <v>35310</v>
      </c>
      <c r="S17" s="164">
        <v>63800</v>
      </c>
      <c r="T17" s="164">
        <v>58059</v>
      </c>
      <c r="U17" s="164">
        <v>15490</v>
      </c>
      <c r="V17" s="166">
        <v>2370</v>
      </c>
      <c r="W17">
        <v>130</v>
      </c>
      <c r="X17" s="51">
        <v>2.915360501567398</v>
      </c>
      <c r="Y17" s="51">
        <v>568.1211041852182</v>
      </c>
      <c r="AA17" s="164"/>
      <c r="AB17" s="164">
        <v>35310</v>
      </c>
      <c r="AD17" s="297"/>
      <c r="AE17" s="296"/>
    </row>
    <row r="18" spans="1:31">
      <c r="A18" s="293" t="s">
        <v>329</v>
      </c>
      <c r="B18" s="295" t="s">
        <v>341</v>
      </c>
      <c r="C18" s="172">
        <v>53.656991999999995</v>
      </c>
      <c r="D18" s="87">
        <v>1998</v>
      </c>
      <c r="E18" s="164">
        <v>31130</v>
      </c>
      <c r="F18" s="164">
        <v>45580</v>
      </c>
      <c r="G18" s="164">
        <v>54880</v>
      </c>
      <c r="H18" s="164">
        <v>49898</v>
      </c>
      <c r="I18" s="164">
        <f t="shared" si="0"/>
        <v>14450</v>
      </c>
      <c r="J18" s="166">
        <v>2060</v>
      </c>
      <c r="K18">
        <v>106</v>
      </c>
      <c r="L18" s="1">
        <v>195.8</v>
      </c>
      <c r="M18" s="56">
        <v>92.97</v>
      </c>
      <c r="N18" s="170"/>
      <c r="O18" s="293" t="s">
        <v>381</v>
      </c>
      <c r="P18" s="294" t="s">
        <v>388</v>
      </c>
      <c r="Q18" s="172">
        <v>49.891949999999994</v>
      </c>
      <c r="R18" s="164">
        <v>29300</v>
      </c>
      <c r="S18" s="164">
        <v>54400</v>
      </c>
      <c r="T18" s="164">
        <v>49895</v>
      </c>
      <c r="U18" s="164">
        <v>15370</v>
      </c>
      <c r="V18" s="166">
        <v>1795</v>
      </c>
      <c r="W18">
        <v>139</v>
      </c>
      <c r="X18" s="51">
        <v>2.6838235294117645</v>
      </c>
      <c r="Y18" s="51">
        <v>585.13498978165001</v>
      </c>
      <c r="AA18" s="164"/>
      <c r="AB18" s="164">
        <v>29300</v>
      </c>
      <c r="AD18" s="297"/>
      <c r="AE18" s="296"/>
    </row>
    <row r="19" spans="1:31">
      <c r="A19" s="293" t="s">
        <v>366</v>
      </c>
      <c r="B19" s="294" t="s">
        <v>368</v>
      </c>
      <c r="C19" s="172">
        <v>57.936383999999997</v>
      </c>
      <c r="D19" s="87">
        <v>2004</v>
      </c>
      <c r="E19" s="164">
        <v>27737</v>
      </c>
      <c r="F19" s="164">
        <v>40800</v>
      </c>
      <c r="G19" s="164">
        <v>47790</v>
      </c>
      <c r="H19" s="164">
        <v>43000</v>
      </c>
      <c r="I19" s="164">
        <f t="shared" si="0"/>
        <v>13063</v>
      </c>
      <c r="J19" s="166">
        <v>1850</v>
      </c>
      <c r="K19">
        <v>114</v>
      </c>
      <c r="L19" s="1">
        <v>165.78</v>
      </c>
      <c r="M19" s="56">
        <v>92.53</v>
      </c>
      <c r="N19" s="170"/>
      <c r="O19" s="293" t="s">
        <v>381</v>
      </c>
      <c r="P19" s="294" t="s">
        <v>386</v>
      </c>
      <c r="Q19" s="172"/>
      <c r="R19" s="164">
        <v>38737</v>
      </c>
      <c r="S19" s="164">
        <v>75580</v>
      </c>
      <c r="T19" s="164">
        <v>63049</v>
      </c>
      <c r="U19" s="164">
        <v>16603</v>
      </c>
      <c r="V19" s="166">
        <v>2500</v>
      </c>
      <c r="W19">
        <v>155</v>
      </c>
      <c r="X19" s="51">
        <v>2.4609685101878802</v>
      </c>
      <c r="Y19" s="51">
        <v>673.01869991095282</v>
      </c>
      <c r="AA19" s="164"/>
      <c r="AB19" s="164">
        <v>38737</v>
      </c>
      <c r="AD19" s="297"/>
      <c r="AE19" s="296"/>
    </row>
    <row r="20" spans="1:31">
      <c r="A20" t="s">
        <v>313</v>
      </c>
      <c r="B20" s="294" t="s">
        <v>319</v>
      </c>
      <c r="C20" s="172">
        <v>77.255369999999985</v>
      </c>
      <c r="D20" s="87">
        <v>2002</v>
      </c>
      <c r="E20" s="164">
        <v>39500</v>
      </c>
      <c r="F20" s="164">
        <v>54500</v>
      </c>
      <c r="G20" s="164">
        <v>68000</v>
      </c>
      <c r="H20" s="164">
        <v>57500</v>
      </c>
      <c r="I20" s="164">
        <f t="shared" si="0"/>
        <v>15000</v>
      </c>
      <c r="J20" s="166">
        <v>3100</v>
      </c>
      <c r="K20">
        <v>117</v>
      </c>
      <c r="L20" s="1">
        <v>192</v>
      </c>
      <c r="M20" s="56">
        <v>122.4</v>
      </c>
      <c r="N20" s="170"/>
      <c r="O20" s="293" t="s">
        <v>329</v>
      </c>
      <c r="P20" s="294" t="s">
        <v>352</v>
      </c>
      <c r="Q20" s="172">
        <v>77.841729000000001</v>
      </c>
      <c r="R20" s="164">
        <v>33643</v>
      </c>
      <c r="S20" s="164">
        <v>68266</v>
      </c>
      <c r="T20" s="164">
        <v>56246</v>
      </c>
      <c r="U20" s="164">
        <v>19427</v>
      </c>
      <c r="V20" s="166">
        <v>2270</v>
      </c>
      <c r="W20">
        <v>159</v>
      </c>
      <c r="X20" s="51">
        <v>2.8681920721882048</v>
      </c>
      <c r="Y20" s="51">
        <v>749.84622144112473</v>
      </c>
      <c r="AA20" s="164"/>
      <c r="AB20" s="164">
        <v>33643</v>
      </c>
      <c r="AD20" s="297"/>
      <c r="AE20" s="296"/>
    </row>
    <row r="21" spans="1:31" ht="15" thickBot="1">
      <c r="A21" t="s">
        <v>358</v>
      </c>
      <c r="B21" s="294" t="s">
        <v>359</v>
      </c>
      <c r="C21" s="172">
        <v>81.781649999999999</v>
      </c>
      <c r="D21" s="87">
        <v>2016</v>
      </c>
      <c r="E21" s="164">
        <v>33339</v>
      </c>
      <c r="F21" s="164">
        <v>50349</v>
      </c>
      <c r="G21" s="164">
        <v>54885</v>
      </c>
      <c r="H21" s="164">
        <v>51029</v>
      </c>
      <c r="I21" s="164">
        <f t="shared" si="0"/>
        <v>17010</v>
      </c>
      <c r="J21" s="166">
        <v>3100</v>
      </c>
      <c r="K21">
        <v>120</v>
      </c>
      <c r="L21" s="1">
        <v>207.2</v>
      </c>
      <c r="M21" s="56">
        <v>112.3</v>
      </c>
      <c r="N21" s="170"/>
    </row>
    <row r="22" spans="1:31">
      <c r="A22" s="293" t="s">
        <v>329</v>
      </c>
      <c r="B22" s="294" t="s">
        <v>350</v>
      </c>
      <c r="C22" s="172">
        <v>61.968888</v>
      </c>
      <c r="D22" s="87">
        <v>1989</v>
      </c>
      <c r="E22" s="164">
        <v>31311</v>
      </c>
      <c r="F22" s="164">
        <v>46720</v>
      </c>
      <c r="G22" s="164">
        <v>61915</v>
      </c>
      <c r="H22" s="164">
        <v>49895</v>
      </c>
      <c r="I22" s="164">
        <f t="shared" si="0"/>
        <v>15409</v>
      </c>
      <c r="J22" s="166">
        <v>2402</v>
      </c>
      <c r="K22">
        <v>122</v>
      </c>
      <c r="L22" s="1">
        <v>164.6</v>
      </c>
      <c r="M22" s="56">
        <v>91.04</v>
      </c>
      <c r="N22" s="170"/>
      <c r="O22" s="302" t="s">
        <v>389</v>
      </c>
      <c r="P22" s="303" t="s">
        <v>390</v>
      </c>
      <c r="Q22" s="304">
        <v>37.799999999999997</v>
      </c>
      <c r="R22" s="305">
        <v>25100</v>
      </c>
      <c r="S22" s="305">
        <v>49450</v>
      </c>
      <c r="T22" s="305">
        <v>41000</v>
      </c>
      <c r="U22" s="305">
        <v>14900</v>
      </c>
      <c r="V22" s="306">
        <v>2470</v>
      </c>
      <c r="W22" s="313">
        <v>98</v>
      </c>
      <c r="Y22" s="296"/>
      <c r="AB22" s="164"/>
    </row>
    <row r="23" spans="1:31">
      <c r="A23" t="s">
        <v>329</v>
      </c>
      <c r="B23" s="295" t="s">
        <v>342</v>
      </c>
      <c r="C23" s="172">
        <v>66.505454999999998</v>
      </c>
      <c r="D23" s="87">
        <v>1998</v>
      </c>
      <c r="E23" s="164">
        <v>37340</v>
      </c>
      <c r="F23" s="164">
        <v>51700</v>
      </c>
      <c r="G23" s="164">
        <v>65544</v>
      </c>
      <c r="H23" s="164">
        <v>54658</v>
      </c>
      <c r="I23" s="164">
        <f t="shared" si="0"/>
        <v>14360</v>
      </c>
      <c r="J23" s="166">
        <v>3050</v>
      </c>
      <c r="K23">
        <v>123</v>
      </c>
      <c r="L23" s="1">
        <v>164</v>
      </c>
      <c r="M23" s="56">
        <v>124.6</v>
      </c>
      <c r="N23" s="170"/>
      <c r="O23" s="307" t="s">
        <v>381</v>
      </c>
      <c r="P23" s="301" t="s">
        <v>383</v>
      </c>
      <c r="Q23" s="298"/>
      <c r="R23" s="299">
        <v>41178</v>
      </c>
      <c r="S23" s="299">
        <v>70760</v>
      </c>
      <c r="T23" s="299">
        <v>64410</v>
      </c>
      <c r="U23" s="299">
        <v>14792</v>
      </c>
      <c r="V23" s="300">
        <v>2085</v>
      </c>
      <c r="W23" s="314">
        <v>153</v>
      </c>
      <c r="Y23" s="296"/>
      <c r="AB23" s="164"/>
    </row>
    <row r="24" spans="1:31" ht="15" thickBot="1">
      <c r="A24" s="293" t="s">
        <v>366</v>
      </c>
      <c r="B24" s="294" t="s">
        <v>367</v>
      </c>
      <c r="C24" s="172">
        <v>65.291589000000002</v>
      </c>
      <c r="D24" s="87">
        <v>2006</v>
      </c>
      <c r="E24" s="164">
        <v>28567</v>
      </c>
      <c r="F24" s="164">
        <v>42500</v>
      </c>
      <c r="G24" s="164">
        <v>48790</v>
      </c>
      <c r="H24" s="164">
        <v>45000</v>
      </c>
      <c r="I24" s="164">
        <f t="shared" si="0"/>
        <v>13933</v>
      </c>
      <c r="J24" s="166">
        <v>1600</v>
      </c>
      <c r="K24">
        <v>124</v>
      </c>
      <c r="L24" s="1">
        <v>165.78</v>
      </c>
      <c r="M24" s="56">
        <v>92.53</v>
      </c>
      <c r="N24" s="170"/>
      <c r="O24" s="308" t="s">
        <v>381</v>
      </c>
      <c r="P24" s="309" t="s">
        <v>387</v>
      </c>
      <c r="Q24" s="310"/>
      <c r="R24" s="311">
        <v>38737</v>
      </c>
      <c r="S24" s="311">
        <v>67800</v>
      </c>
      <c r="T24" s="311">
        <v>58967</v>
      </c>
      <c r="U24" s="311">
        <v>16603</v>
      </c>
      <c r="V24" s="312">
        <v>2050</v>
      </c>
      <c r="W24" s="315">
        <v>155</v>
      </c>
    </row>
    <row r="25" spans="1:31">
      <c r="A25" s="293" t="s">
        <v>381</v>
      </c>
      <c r="B25" s="294" t="s">
        <v>385</v>
      </c>
      <c r="C25" s="172"/>
      <c r="D25" s="87">
        <v>1986</v>
      </c>
      <c r="E25" s="164">
        <v>35310</v>
      </c>
      <c r="F25" s="164">
        <v>50800</v>
      </c>
      <c r="G25" s="164">
        <v>63800</v>
      </c>
      <c r="H25" s="164">
        <v>58059</v>
      </c>
      <c r="I25" s="164">
        <f t="shared" si="0"/>
        <v>15490</v>
      </c>
      <c r="J25" s="166">
        <v>2370</v>
      </c>
      <c r="K25">
        <v>130</v>
      </c>
      <c r="L25" s="1">
        <v>186</v>
      </c>
      <c r="M25" s="56">
        <v>112.3</v>
      </c>
      <c r="N25" s="170"/>
      <c r="O25" s="170"/>
      <c r="P25" s="169"/>
      <c r="Q25" s="169"/>
    </row>
    <row r="26" spans="1:31">
      <c r="A26" t="s">
        <v>313</v>
      </c>
      <c r="B26" s="294" t="s">
        <v>323</v>
      </c>
      <c r="C26" s="172">
        <v>92.171519999999987</v>
      </c>
      <c r="D26" s="87">
        <v>1995</v>
      </c>
      <c r="E26" s="164">
        <v>40800</v>
      </c>
      <c r="F26" s="164">
        <v>58500</v>
      </c>
      <c r="G26" s="164">
        <v>75500</v>
      </c>
      <c r="H26" s="164">
        <v>62500</v>
      </c>
      <c r="I26" s="164">
        <f t="shared" si="0"/>
        <v>17700</v>
      </c>
      <c r="J26" s="166">
        <v>3750</v>
      </c>
      <c r="K26">
        <v>134</v>
      </c>
      <c r="L26" s="1">
        <v>199.4</v>
      </c>
      <c r="M26" s="56">
        <v>122.4</v>
      </c>
      <c r="N26" s="170"/>
      <c r="O26" s="170"/>
      <c r="P26" s="169"/>
      <c r="Q26" s="169"/>
    </row>
    <row r="27" spans="1:31">
      <c r="A27" s="293" t="s">
        <v>381</v>
      </c>
      <c r="B27" s="294" t="s">
        <v>388</v>
      </c>
      <c r="C27" s="172">
        <v>49.891949999999994</v>
      </c>
      <c r="D27" s="87">
        <v>1975</v>
      </c>
      <c r="E27" s="164">
        <v>29300</v>
      </c>
      <c r="F27" s="164">
        <v>44670</v>
      </c>
      <c r="G27" s="164">
        <v>54400</v>
      </c>
      <c r="H27" s="164">
        <v>49895</v>
      </c>
      <c r="I27" s="164">
        <f t="shared" si="0"/>
        <v>15370</v>
      </c>
      <c r="J27" s="166">
        <v>1795</v>
      </c>
      <c r="K27">
        <v>139</v>
      </c>
      <c r="L27" s="1">
        <v>146</v>
      </c>
      <c r="M27" s="56">
        <v>92.97</v>
      </c>
      <c r="N27" s="170"/>
      <c r="O27" s="170"/>
      <c r="P27" s="169"/>
      <c r="Q27" s="169"/>
    </row>
    <row r="28" spans="1:31">
      <c r="A28" t="s">
        <v>329</v>
      </c>
      <c r="B28" s="295" t="s">
        <v>343</v>
      </c>
      <c r="C28" s="172">
        <v>84.764880000000005</v>
      </c>
      <c r="D28" s="87">
        <v>1998</v>
      </c>
      <c r="E28" s="164">
        <v>37648</v>
      </c>
      <c r="F28" s="164">
        <v>55202</v>
      </c>
      <c r="G28" s="164">
        <v>70080</v>
      </c>
      <c r="H28" s="164">
        <v>58604</v>
      </c>
      <c r="I28" s="164">
        <f t="shared" si="0"/>
        <v>17554</v>
      </c>
      <c r="J28" s="166">
        <v>3365</v>
      </c>
      <c r="K28">
        <v>140</v>
      </c>
      <c r="L28" s="1">
        <v>178</v>
      </c>
      <c r="M28" s="56">
        <v>124.6</v>
      </c>
      <c r="N28" s="170"/>
      <c r="O28" s="170"/>
      <c r="P28" s="169"/>
      <c r="Q28" s="169"/>
    </row>
    <row r="29" spans="1:31">
      <c r="A29" s="293" t="s">
        <v>381</v>
      </c>
      <c r="B29" s="294" t="s">
        <v>383</v>
      </c>
      <c r="C29" s="172"/>
      <c r="D29" s="87">
        <v>1993</v>
      </c>
      <c r="E29" s="164">
        <v>41178</v>
      </c>
      <c r="F29" s="164">
        <v>55970</v>
      </c>
      <c r="G29" s="164">
        <v>70760</v>
      </c>
      <c r="H29" s="164">
        <v>64410</v>
      </c>
      <c r="I29" s="164">
        <f t="shared" si="0"/>
        <v>14792</v>
      </c>
      <c r="J29" s="166">
        <v>2085</v>
      </c>
      <c r="K29">
        <v>153</v>
      </c>
      <c r="L29" s="1">
        <v>249.1</v>
      </c>
      <c r="M29" s="56">
        <v>112.3</v>
      </c>
      <c r="N29" s="170"/>
      <c r="O29" s="170"/>
      <c r="P29" s="169"/>
      <c r="Q29" s="169"/>
    </row>
    <row r="30" spans="1:31">
      <c r="A30" s="293" t="s">
        <v>381</v>
      </c>
      <c r="B30" s="294" t="s">
        <v>387</v>
      </c>
      <c r="C30" s="172"/>
      <c r="D30" s="87">
        <v>1981</v>
      </c>
      <c r="E30" s="164">
        <v>38737</v>
      </c>
      <c r="F30" s="164">
        <v>55340</v>
      </c>
      <c r="G30" s="164">
        <v>67800</v>
      </c>
      <c r="H30" s="164">
        <v>58967</v>
      </c>
      <c r="I30" s="164">
        <f t="shared" si="0"/>
        <v>16603</v>
      </c>
      <c r="J30" s="166">
        <v>2050</v>
      </c>
      <c r="K30">
        <v>155</v>
      </c>
      <c r="L30" s="1">
        <v>178</v>
      </c>
      <c r="M30" s="56">
        <v>112.3</v>
      </c>
      <c r="N30" s="170"/>
      <c r="O30" s="170"/>
      <c r="P30" s="169"/>
      <c r="Q30" s="169"/>
    </row>
    <row r="31" spans="1:31">
      <c r="A31" s="293" t="s">
        <v>381</v>
      </c>
      <c r="B31" s="294" t="s">
        <v>386</v>
      </c>
      <c r="C31" s="172"/>
      <c r="D31" s="87">
        <v>1984</v>
      </c>
      <c r="E31" s="164">
        <v>38737</v>
      </c>
      <c r="F31" s="164">
        <v>55340</v>
      </c>
      <c r="G31" s="164">
        <v>75580</v>
      </c>
      <c r="H31" s="164">
        <v>63049</v>
      </c>
      <c r="I31" s="164">
        <f t="shared" si="0"/>
        <v>16603</v>
      </c>
      <c r="J31" s="166">
        <v>2500</v>
      </c>
      <c r="K31">
        <v>155</v>
      </c>
      <c r="L31" s="1">
        <v>186</v>
      </c>
      <c r="M31" s="56">
        <v>112.3</v>
      </c>
      <c r="N31" s="170"/>
      <c r="O31" s="170"/>
      <c r="P31" s="169"/>
      <c r="Q31" s="169"/>
    </row>
    <row r="32" spans="1:31">
      <c r="A32" s="293" t="s">
        <v>329</v>
      </c>
      <c r="B32" s="294" t="s">
        <v>352</v>
      </c>
      <c r="C32" s="172">
        <v>77.841729000000001</v>
      </c>
      <c r="D32" s="87">
        <v>1988</v>
      </c>
      <c r="E32" s="164">
        <v>33643</v>
      </c>
      <c r="F32" s="164">
        <v>53070</v>
      </c>
      <c r="G32" s="164">
        <v>68266</v>
      </c>
      <c r="H32" s="164">
        <v>56246</v>
      </c>
      <c r="I32" s="164">
        <f t="shared" si="0"/>
        <v>19427</v>
      </c>
      <c r="J32" s="166">
        <v>2270</v>
      </c>
      <c r="K32">
        <v>159</v>
      </c>
      <c r="L32" s="1">
        <v>195.8</v>
      </c>
      <c r="M32" s="56">
        <v>91.04</v>
      </c>
      <c r="N32" s="170"/>
      <c r="O32" s="170"/>
      <c r="P32" s="169"/>
      <c r="Q32" s="169"/>
    </row>
    <row r="33" spans="1:17">
      <c r="A33" t="s">
        <v>313</v>
      </c>
      <c r="B33" s="87" t="s">
        <v>328</v>
      </c>
      <c r="C33" s="172">
        <v>100.81259999999999</v>
      </c>
      <c r="D33" s="87">
        <v>1988</v>
      </c>
      <c r="E33" s="164">
        <v>42600</v>
      </c>
      <c r="F33" s="164">
        <v>62500</v>
      </c>
      <c r="G33" s="164">
        <v>78000</v>
      </c>
      <c r="H33" s="164">
        <v>66000</v>
      </c>
      <c r="I33" s="164">
        <f t="shared" si="0"/>
        <v>19900</v>
      </c>
      <c r="J33" s="166">
        <v>3300</v>
      </c>
      <c r="K33">
        <v>164</v>
      </c>
      <c r="L33" s="1">
        <v>222.4</v>
      </c>
      <c r="M33" s="56">
        <v>122.4</v>
      </c>
      <c r="N33" s="170"/>
      <c r="O33" s="170"/>
      <c r="P33" s="169"/>
      <c r="Q33" s="169"/>
    </row>
    <row r="34" spans="1:17">
      <c r="A34" t="s">
        <v>313</v>
      </c>
      <c r="B34" s="87" t="s">
        <v>316</v>
      </c>
      <c r="C34" s="172">
        <v>110.37951</v>
      </c>
      <c r="D34" s="87">
        <v>2016</v>
      </c>
      <c r="E34" s="164">
        <v>42000</v>
      </c>
      <c r="F34" s="164">
        <v>64300</v>
      </c>
      <c r="G34" s="164">
        <v>79000</v>
      </c>
      <c r="H34" s="164">
        <v>67400</v>
      </c>
      <c r="I34" s="164">
        <f t="shared" ref="I34:I65" si="1">F34-E34</f>
        <v>22300</v>
      </c>
      <c r="J34" s="166">
        <v>3500</v>
      </c>
      <c r="K34">
        <v>165</v>
      </c>
      <c r="L34" s="1">
        <v>240.8</v>
      </c>
      <c r="M34" s="56">
        <v>123</v>
      </c>
      <c r="N34" s="170"/>
      <c r="O34" s="170"/>
      <c r="P34" s="169"/>
      <c r="Q34" s="169"/>
    </row>
    <row r="35" spans="1:17">
      <c r="A35" t="s">
        <v>329</v>
      </c>
      <c r="B35" t="s">
        <v>348</v>
      </c>
      <c r="C35" s="172">
        <v>100.91546999999998</v>
      </c>
      <c r="D35" s="87">
        <v>1994</v>
      </c>
      <c r="E35" s="164">
        <v>42200</v>
      </c>
      <c r="F35" s="164">
        <v>62731</v>
      </c>
      <c r="G35" s="164">
        <v>79016</v>
      </c>
      <c r="H35" s="164">
        <v>66361</v>
      </c>
      <c r="I35" s="164">
        <f t="shared" si="1"/>
        <v>20531</v>
      </c>
      <c r="J35" s="166">
        <v>3060</v>
      </c>
      <c r="K35">
        <v>175</v>
      </c>
      <c r="L35" s="1">
        <v>214</v>
      </c>
      <c r="M35" s="56">
        <v>124.6</v>
      </c>
      <c r="N35" s="170"/>
      <c r="O35" s="170"/>
      <c r="P35" s="169"/>
      <c r="Q35" s="169"/>
    </row>
    <row r="36" spans="1:17">
      <c r="A36" t="s">
        <v>392</v>
      </c>
      <c r="B36" s="87" t="s">
        <v>393</v>
      </c>
      <c r="C36" s="172"/>
      <c r="D36" s="87">
        <v>1989</v>
      </c>
      <c r="E36" s="164">
        <v>56920</v>
      </c>
      <c r="F36" s="164">
        <v>83575</v>
      </c>
      <c r="G36" s="164">
        <v>103000</v>
      </c>
      <c r="H36" s="164">
        <v>89500</v>
      </c>
      <c r="I36" s="164">
        <f t="shared" si="1"/>
        <v>26655</v>
      </c>
      <c r="J36" s="166">
        <v>2700</v>
      </c>
      <c r="K36">
        <v>190</v>
      </c>
      <c r="L36" s="1">
        <v>314</v>
      </c>
      <c r="M36" s="56">
        <v>182.4</v>
      </c>
      <c r="N36" s="170"/>
      <c r="O36" s="170"/>
      <c r="P36" s="169"/>
      <c r="Q36" s="169"/>
    </row>
    <row r="37" spans="1:17">
      <c r="A37" t="s">
        <v>313</v>
      </c>
      <c r="B37" s="87" t="s">
        <v>326</v>
      </c>
      <c r="C37" s="172">
        <v>118.19763</v>
      </c>
      <c r="D37" s="87">
        <v>1993</v>
      </c>
      <c r="E37" s="164">
        <v>48500</v>
      </c>
      <c r="F37" s="164">
        <v>73800</v>
      </c>
      <c r="G37" s="164">
        <v>93500</v>
      </c>
      <c r="H37" s="164">
        <v>77800</v>
      </c>
      <c r="I37" s="164">
        <f t="shared" si="1"/>
        <v>25300</v>
      </c>
      <c r="J37" s="166">
        <v>3200</v>
      </c>
      <c r="K37">
        <v>199</v>
      </c>
      <c r="L37" s="1">
        <v>284</v>
      </c>
      <c r="M37" s="56">
        <v>122.4</v>
      </c>
      <c r="N37" s="170"/>
      <c r="O37" s="170"/>
      <c r="P37" s="169"/>
      <c r="Q37" s="169"/>
    </row>
    <row r="38" spans="1:17">
      <c r="A38" t="s">
        <v>329</v>
      </c>
      <c r="B38" t="s">
        <v>356</v>
      </c>
      <c r="C38" s="172">
        <v>110.338362</v>
      </c>
      <c r="D38" s="87">
        <v>1982</v>
      </c>
      <c r="E38" s="164">
        <v>59160</v>
      </c>
      <c r="F38" s="164">
        <v>83460</v>
      </c>
      <c r="G38" s="164">
        <v>115660</v>
      </c>
      <c r="H38" s="164">
        <v>95255</v>
      </c>
      <c r="I38" s="164">
        <f t="shared" si="1"/>
        <v>24300</v>
      </c>
      <c r="J38" s="166">
        <v>3900</v>
      </c>
      <c r="K38">
        <v>200</v>
      </c>
      <c r="L38" s="1">
        <v>382.6</v>
      </c>
      <c r="M38" s="56">
        <v>185.25</v>
      </c>
      <c r="N38" s="170"/>
      <c r="O38" s="170"/>
      <c r="P38" s="169"/>
      <c r="Q38" s="169"/>
    </row>
    <row r="39" spans="1:17">
      <c r="A39" t="s">
        <v>329</v>
      </c>
      <c r="B39" s="87" t="s">
        <v>346</v>
      </c>
      <c r="C39" s="172">
        <v>92.202380999999988</v>
      </c>
      <c r="D39" s="87">
        <v>1997</v>
      </c>
      <c r="E39" s="164">
        <v>42901</v>
      </c>
      <c r="F39" s="164">
        <v>63639</v>
      </c>
      <c r="G39" s="164">
        <v>79016</v>
      </c>
      <c r="H39" s="164">
        <v>66361</v>
      </c>
      <c r="I39" s="164">
        <f t="shared" si="1"/>
        <v>20738</v>
      </c>
      <c r="J39" s="166">
        <v>3200</v>
      </c>
      <c r="K39">
        <v>204</v>
      </c>
      <c r="L39" s="1">
        <v>220</v>
      </c>
      <c r="M39" s="56">
        <v>124.6</v>
      </c>
      <c r="N39" s="170"/>
      <c r="O39" s="170"/>
      <c r="P39" s="169"/>
      <c r="Q39" s="169"/>
    </row>
    <row r="40" spans="1:17">
      <c r="A40" t="s">
        <v>329</v>
      </c>
      <c r="B40" s="87" t="s">
        <v>336</v>
      </c>
      <c r="C40" s="172">
        <v>107.08766999999999</v>
      </c>
      <c r="D40" s="87">
        <v>2006</v>
      </c>
      <c r="E40" s="164">
        <v>44677</v>
      </c>
      <c r="F40" s="164">
        <v>67721</v>
      </c>
      <c r="G40" s="164">
        <v>85139</v>
      </c>
      <c r="H40" s="164">
        <v>71350</v>
      </c>
      <c r="I40" s="164">
        <f t="shared" si="1"/>
        <v>23044</v>
      </c>
      <c r="J40" s="166">
        <v>3265</v>
      </c>
      <c r="K40">
        <v>204</v>
      </c>
      <c r="L40" s="1">
        <v>220</v>
      </c>
      <c r="M40" s="56">
        <v>124.6</v>
      </c>
      <c r="N40" s="170"/>
      <c r="O40" s="170"/>
      <c r="P40" s="169"/>
      <c r="Q40" s="169"/>
    </row>
    <row r="41" spans="1:17">
      <c r="A41" t="s">
        <v>313</v>
      </c>
      <c r="B41" s="87" t="s">
        <v>315</v>
      </c>
      <c r="C41" s="172">
        <v>129.5</v>
      </c>
      <c r="D41" s="87">
        <v>2017</v>
      </c>
      <c r="E41" s="164">
        <v>50100</v>
      </c>
      <c r="F41" s="164">
        <v>75600</v>
      </c>
      <c r="G41" s="164">
        <v>97000</v>
      </c>
      <c r="H41" s="164">
        <v>79200</v>
      </c>
      <c r="I41" s="164">
        <f t="shared" si="1"/>
        <v>25500</v>
      </c>
      <c r="J41" s="166">
        <v>4000</v>
      </c>
      <c r="K41">
        <v>206</v>
      </c>
      <c r="L41" s="1">
        <v>294.60000000000002</v>
      </c>
      <c r="M41" s="56">
        <v>122.6</v>
      </c>
      <c r="N41" s="170"/>
      <c r="O41" s="170"/>
      <c r="P41" s="169"/>
      <c r="Q41" s="169"/>
    </row>
    <row r="42" spans="1:17">
      <c r="A42" t="s">
        <v>329</v>
      </c>
      <c r="B42" t="s">
        <v>332</v>
      </c>
      <c r="C42" s="172">
        <v>117.1</v>
      </c>
      <c r="D42" s="87">
        <v>2017</v>
      </c>
      <c r="E42" s="164">
        <v>45070</v>
      </c>
      <c r="F42" s="164">
        <v>65952</v>
      </c>
      <c r="G42" s="164">
        <v>82191</v>
      </c>
      <c r="H42" s="164">
        <v>69309</v>
      </c>
      <c r="I42" s="164">
        <f t="shared" si="1"/>
        <v>20882</v>
      </c>
      <c r="J42" s="166">
        <v>3550</v>
      </c>
      <c r="K42">
        <v>210</v>
      </c>
      <c r="L42" s="1">
        <v>260</v>
      </c>
      <c r="M42" s="56">
        <v>127</v>
      </c>
      <c r="N42" s="170"/>
      <c r="O42" s="170"/>
      <c r="P42" s="169"/>
      <c r="Q42" s="169"/>
    </row>
    <row r="43" spans="1:17">
      <c r="A43" t="s">
        <v>329</v>
      </c>
      <c r="B43" s="87" t="s">
        <v>357</v>
      </c>
      <c r="C43" s="172">
        <v>136.03528800000001</v>
      </c>
      <c r="D43" s="87">
        <v>1981</v>
      </c>
      <c r="E43" s="164">
        <v>80310</v>
      </c>
      <c r="F43" s="164">
        <v>113400</v>
      </c>
      <c r="G43" s="164">
        <v>142880</v>
      </c>
      <c r="H43" s="164">
        <v>122470</v>
      </c>
      <c r="I43" s="164">
        <f t="shared" si="1"/>
        <v>33090</v>
      </c>
      <c r="J43" s="166">
        <v>3900</v>
      </c>
      <c r="K43">
        <v>216</v>
      </c>
      <c r="L43" s="1">
        <v>427</v>
      </c>
      <c r="M43" s="56">
        <v>283.3</v>
      </c>
      <c r="N43" s="170"/>
      <c r="O43" s="170"/>
      <c r="P43" s="169"/>
      <c r="Q43" s="169"/>
    </row>
    <row r="44" spans="1:17">
      <c r="A44" t="s">
        <v>329</v>
      </c>
      <c r="B44" t="s">
        <v>355</v>
      </c>
      <c r="C44" s="172">
        <v>151.14689100000001</v>
      </c>
      <c r="D44" s="87">
        <v>1984</v>
      </c>
      <c r="E44" s="164">
        <v>85680</v>
      </c>
      <c r="F44" s="164">
        <v>117930</v>
      </c>
      <c r="G44" s="164">
        <v>179160</v>
      </c>
      <c r="H44" s="164">
        <v>136078</v>
      </c>
      <c r="I44" s="164">
        <f t="shared" si="1"/>
        <v>32250</v>
      </c>
      <c r="J44" s="165">
        <v>6590</v>
      </c>
      <c r="K44">
        <v>216</v>
      </c>
      <c r="L44" s="1">
        <v>515.20000000000005</v>
      </c>
      <c r="M44" s="56">
        <v>283.3</v>
      </c>
      <c r="N44" s="170"/>
      <c r="O44" s="170"/>
      <c r="P44" s="169"/>
      <c r="Q44" s="169"/>
    </row>
    <row r="45" spans="1:17">
      <c r="A45" t="s">
        <v>329</v>
      </c>
      <c r="B45" t="s">
        <v>330</v>
      </c>
      <c r="C45" s="172">
        <v>124.1</v>
      </c>
      <c r="D45" s="87">
        <v>2018</v>
      </c>
      <c r="E45" s="164">
        <v>46000</v>
      </c>
      <c r="F45" s="164">
        <v>70987</v>
      </c>
      <c r="G45" s="164">
        <v>88314</v>
      </c>
      <c r="H45" s="164">
        <v>74344</v>
      </c>
      <c r="I45" s="164">
        <f t="shared" si="1"/>
        <v>24987</v>
      </c>
      <c r="J45" s="166">
        <v>3550</v>
      </c>
      <c r="K45">
        <v>220</v>
      </c>
      <c r="L45" s="1">
        <v>260</v>
      </c>
      <c r="M45" s="56">
        <v>127</v>
      </c>
      <c r="N45" s="170"/>
      <c r="O45" s="170"/>
      <c r="P45" s="169"/>
      <c r="Q45" s="169"/>
    </row>
    <row r="46" spans="1:17">
      <c r="A46" t="s">
        <v>329</v>
      </c>
      <c r="B46" t="s">
        <v>335</v>
      </c>
      <c r="C46" s="172">
        <v>236.08664999999999</v>
      </c>
      <c r="D46" s="87">
        <v>2009</v>
      </c>
      <c r="E46" s="164">
        <v>117798</v>
      </c>
      <c r="F46" s="164">
        <v>161025</v>
      </c>
      <c r="G46" s="164">
        <v>227930</v>
      </c>
      <c r="H46" s="164">
        <v>165561</v>
      </c>
      <c r="I46" s="164">
        <f t="shared" si="1"/>
        <v>43227</v>
      </c>
      <c r="J46" s="165">
        <v>7355</v>
      </c>
      <c r="K46">
        <v>242</v>
      </c>
      <c r="L46" s="1">
        <v>560</v>
      </c>
      <c r="M46" s="56">
        <v>377</v>
      </c>
      <c r="N46" s="170"/>
      <c r="O46" s="170"/>
      <c r="P46" s="169"/>
      <c r="Q46" s="169"/>
    </row>
    <row r="47" spans="1:17">
      <c r="A47" t="s">
        <v>329</v>
      </c>
      <c r="B47" s="87" t="s">
        <v>344</v>
      </c>
      <c r="C47" s="172">
        <v>134.523099</v>
      </c>
      <c r="D47" s="87">
        <v>1998</v>
      </c>
      <c r="E47" s="164">
        <v>63650</v>
      </c>
      <c r="F47" s="164">
        <v>95250</v>
      </c>
      <c r="G47" s="164">
        <v>123600</v>
      </c>
      <c r="H47" s="164">
        <v>101605</v>
      </c>
      <c r="I47" s="164">
        <f t="shared" si="1"/>
        <v>31600</v>
      </c>
      <c r="J47" s="166">
        <v>3395</v>
      </c>
      <c r="K47">
        <v>243</v>
      </c>
      <c r="L47" s="1">
        <v>384</v>
      </c>
      <c r="M47" s="56">
        <v>185.25</v>
      </c>
      <c r="N47" s="170"/>
      <c r="O47" s="170"/>
      <c r="P47" s="169"/>
      <c r="Q47" s="169"/>
    </row>
    <row r="48" spans="1:17">
      <c r="A48" t="s">
        <v>313</v>
      </c>
      <c r="B48" t="s">
        <v>322</v>
      </c>
      <c r="C48" s="172">
        <v>238.14404999999999</v>
      </c>
      <c r="D48" s="87">
        <v>1998</v>
      </c>
      <c r="E48" s="164">
        <v>118000</v>
      </c>
      <c r="F48" s="164">
        <v>170000</v>
      </c>
      <c r="G48" s="164">
        <v>233000</v>
      </c>
      <c r="H48" s="164">
        <v>182000</v>
      </c>
      <c r="I48" s="164">
        <f t="shared" si="1"/>
        <v>52000</v>
      </c>
      <c r="J48" s="165">
        <v>7250</v>
      </c>
      <c r="K48">
        <v>247</v>
      </c>
      <c r="L48" s="1">
        <v>620</v>
      </c>
      <c r="M48" s="56">
        <v>363.1</v>
      </c>
      <c r="N48" s="170"/>
      <c r="O48" s="170"/>
      <c r="P48" s="169"/>
      <c r="Q48" s="169"/>
    </row>
    <row r="49" spans="1:17">
      <c r="A49" t="s">
        <v>329</v>
      </c>
      <c r="B49" s="87" t="s">
        <v>354</v>
      </c>
      <c r="C49" s="172">
        <v>176.843817</v>
      </c>
      <c r="D49" s="87">
        <v>1986</v>
      </c>
      <c r="E49" s="164">
        <v>86070</v>
      </c>
      <c r="F49" s="164">
        <v>126100</v>
      </c>
      <c r="G49" s="164">
        <v>158760</v>
      </c>
      <c r="H49" s="164">
        <v>136078</v>
      </c>
      <c r="I49" s="164">
        <f t="shared" si="1"/>
        <v>40030</v>
      </c>
      <c r="J49" s="166">
        <v>3900</v>
      </c>
      <c r="K49">
        <v>261</v>
      </c>
      <c r="L49" s="1">
        <v>447</v>
      </c>
      <c r="M49" s="56">
        <v>283.3</v>
      </c>
      <c r="N49" s="170"/>
      <c r="O49" s="170"/>
      <c r="P49" s="169"/>
      <c r="Q49" s="169"/>
    </row>
    <row r="50" spans="1:17">
      <c r="A50" t="s">
        <v>329</v>
      </c>
      <c r="B50" s="87" t="s">
        <v>353</v>
      </c>
      <c r="C50" s="172">
        <v>207.18018000000001</v>
      </c>
      <c r="D50" s="87">
        <v>1988</v>
      </c>
      <c r="E50" s="164">
        <v>90010</v>
      </c>
      <c r="F50" s="164">
        <v>133810</v>
      </c>
      <c r="G50" s="164">
        <v>186880</v>
      </c>
      <c r="H50" s="164">
        <v>145150</v>
      </c>
      <c r="I50" s="164">
        <f t="shared" si="1"/>
        <v>43800</v>
      </c>
      <c r="J50" s="165">
        <v>5980</v>
      </c>
      <c r="K50">
        <v>261</v>
      </c>
      <c r="L50" s="1">
        <v>547.20000000000005</v>
      </c>
      <c r="M50" s="56">
        <v>283.3</v>
      </c>
      <c r="N50" s="170"/>
      <c r="O50" s="170"/>
      <c r="P50" s="169"/>
      <c r="Q50" s="169"/>
    </row>
    <row r="51" spans="1:17">
      <c r="A51" t="s">
        <v>313</v>
      </c>
      <c r="B51" s="87" t="s">
        <v>327</v>
      </c>
      <c r="C51" s="172">
        <v>151.21889999999999</v>
      </c>
      <c r="D51" s="87">
        <v>1993</v>
      </c>
      <c r="E51" s="164">
        <v>129000</v>
      </c>
      <c r="F51" s="164">
        <v>173000</v>
      </c>
      <c r="G51" s="164">
        <v>275000</v>
      </c>
      <c r="H51" s="164">
        <v>181000</v>
      </c>
      <c r="I51" s="164">
        <f t="shared" si="1"/>
        <v>44000</v>
      </c>
      <c r="J51" s="165">
        <v>6700</v>
      </c>
      <c r="K51">
        <v>261</v>
      </c>
      <c r="L51" s="1">
        <v>556</v>
      </c>
      <c r="M51" s="56">
        <v>363.1</v>
      </c>
      <c r="N51" s="170"/>
      <c r="O51" s="170"/>
      <c r="P51" s="169"/>
      <c r="Q51" s="169"/>
    </row>
    <row r="52" spans="1:17">
      <c r="A52" t="s">
        <v>313</v>
      </c>
      <c r="B52" t="s">
        <v>324</v>
      </c>
      <c r="C52" s="172">
        <v>263.75867999999997</v>
      </c>
      <c r="D52" s="87">
        <v>1994</v>
      </c>
      <c r="E52" s="164">
        <v>121200</v>
      </c>
      <c r="F52" s="164">
        <v>175000</v>
      </c>
      <c r="G52" s="164">
        <v>233000</v>
      </c>
      <c r="H52" s="164">
        <v>187000</v>
      </c>
      <c r="I52" s="164">
        <f t="shared" si="1"/>
        <v>53800</v>
      </c>
      <c r="J52" s="165">
        <v>6350</v>
      </c>
      <c r="K52">
        <v>277</v>
      </c>
      <c r="L52" s="1">
        <v>600</v>
      </c>
      <c r="M52" s="56">
        <v>363.1</v>
      </c>
      <c r="N52" s="170"/>
      <c r="O52" s="170"/>
      <c r="P52" s="169"/>
      <c r="Q52" s="169"/>
    </row>
    <row r="53" spans="1:17">
      <c r="A53" t="s">
        <v>313</v>
      </c>
      <c r="B53" s="87" t="s">
        <v>325</v>
      </c>
      <c r="C53" s="172">
        <v>244.83059999999998</v>
      </c>
      <c r="D53" s="87">
        <v>1994</v>
      </c>
      <c r="E53" s="164">
        <v>133190</v>
      </c>
      <c r="F53" s="164">
        <v>178000</v>
      </c>
      <c r="G53" s="164">
        <v>275000</v>
      </c>
      <c r="H53" s="164">
        <v>192000</v>
      </c>
      <c r="I53" s="164">
        <f t="shared" si="1"/>
        <v>44810</v>
      </c>
      <c r="J53" s="165">
        <v>7300</v>
      </c>
      <c r="K53">
        <v>277</v>
      </c>
      <c r="L53" s="1">
        <v>604</v>
      </c>
      <c r="M53" s="56">
        <v>363.1</v>
      </c>
      <c r="N53" s="170"/>
      <c r="O53" s="170"/>
      <c r="P53" s="169"/>
      <c r="Q53" s="169"/>
    </row>
    <row r="54" spans="1:17">
      <c r="A54" t="s">
        <v>329</v>
      </c>
      <c r="B54" s="87" t="s">
        <v>333</v>
      </c>
      <c r="C54" s="172">
        <v>278.16047999999995</v>
      </c>
      <c r="D54" s="87">
        <v>2013</v>
      </c>
      <c r="E54" s="164">
        <v>122000</v>
      </c>
      <c r="F54" s="164">
        <v>181430</v>
      </c>
      <c r="G54" s="164">
        <v>250830</v>
      </c>
      <c r="H54" s="164">
        <v>192777</v>
      </c>
      <c r="I54" s="164">
        <f t="shared" si="1"/>
        <v>59430</v>
      </c>
      <c r="J54" s="165">
        <v>7635</v>
      </c>
      <c r="K54">
        <v>290</v>
      </c>
      <c r="L54" s="1">
        <v>640</v>
      </c>
      <c r="M54" s="56">
        <v>377</v>
      </c>
      <c r="N54" s="170"/>
      <c r="O54" s="170"/>
      <c r="P54" s="169"/>
      <c r="Q54" s="169"/>
    </row>
    <row r="55" spans="1:17">
      <c r="A55" t="s">
        <v>313</v>
      </c>
      <c r="B55" s="87" t="s">
        <v>320</v>
      </c>
      <c r="C55" s="172">
        <v>269.31365999999997</v>
      </c>
      <c r="D55" s="87">
        <v>2002</v>
      </c>
      <c r="E55" s="164">
        <v>174800</v>
      </c>
      <c r="F55" s="164">
        <v>222000</v>
      </c>
      <c r="G55" s="164">
        <v>372000</v>
      </c>
      <c r="H55" s="164">
        <v>246000</v>
      </c>
      <c r="I55" s="164">
        <f t="shared" si="1"/>
        <v>47200</v>
      </c>
      <c r="J55" s="165">
        <v>9000</v>
      </c>
      <c r="K55">
        <v>293</v>
      </c>
      <c r="L55" s="1">
        <v>943.2</v>
      </c>
      <c r="M55" s="56">
        <v>437.3</v>
      </c>
      <c r="N55" s="170"/>
      <c r="O55" s="170"/>
      <c r="P55" s="169"/>
      <c r="Q55" s="169"/>
    </row>
    <row r="56" spans="1:17">
      <c r="A56" t="s">
        <v>329</v>
      </c>
      <c r="B56" t="s">
        <v>340</v>
      </c>
      <c r="C56" s="172">
        <v>191.95541999999998</v>
      </c>
      <c r="D56" s="87">
        <v>2000</v>
      </c>
      <c r="E56" s="164">
        <v>103872</v>
      </c>
      <c r="F56" s="164">
        <v>149680</v>
      </c>
      <c r="G56" s="164">
        <v>204120</v>
      </c>
      <c r="H56" s="164">
        <v>158758</v>
      </c>
      <c r="I56" s="164">
        <f t="shared" si="1"/>
        <v>45808</v>
      </c>
      <c r="J56" s="165">
        <v>5625</v>
      </c>
      <c r="K56">
        <v>296</v>
      </c>
      <c r="L56" s="1">
        <v>540</v>
      </c>
      <c r="M56" s="56">
        <v>283.3</v>
      </c>
      <c r="N56" s="170"/>
      <c r="O56" s="170"/>
      <c r="P56" s="169"/>
      <c r="Q56" s="169"/>
    </row>
    <row r="57" spans="1:17">
      <c r="A57" t="s">
        <v>329</v>
      </c>
      <c r="B57" t="s">
        <v>349</v>
      </c>
      <c r="C57" s="172">
        <v>233.17542899999998</v>
      </c>
      <c r="D57" s="87">
        <v>1994</v>
      </c>
      <c r="E57" s="164">
        <v>140790</v>
      </c>
      <c r="F57" s="164">
        <v>190500</v>
      </c>
      <c r="G57" s="164">
        <v>247200</v>
      </c>
      <c r="H57" s="164">
        <v>201849</v>
      </c>
      <c r="I57" s="164">
        <f t="shared" si="1"/>
        <v>49710</v>
      </c>
      <c r="J57" s="165">
        <v>5240</v>
      </c>
      <c r="K57">
        <v>305</v>
      </c>
      <c r="L57" s="1">
        <v>685</v>
      </c>
      <c r="M57" s="56">
        <v>427.8</v>
      </c>
      <c r="N57" s="170"/>
      <c r="O57" s="170"/>
      <c r="P57" s="169"/>
      <c r="Q57" s="169"/>
    </row>
    <row r="58" spans="1:17">
      <c r="A58" t="s">
        <v>329</v>
      </c>
      <c r="B58" s="87" t="s">
        <v>347</v>
      </c>
      <c r="C58" s="172">
        <v>291.53357999999997</v>
      </c>
      <c r="D58" s="87">
        <v>1997</v>
      </c>
      <c r="E58" s="164">
        <v>143790</v>
      </c>
      <c r="F58" s="164">
        <v>199580</v>
      </c>
      <c r="G58" s="164">
        <v>297560</v>
      </c>
      <c r="H58" s="164">
        <v>213189</v>
      </c>
      <c r="I58" s="164">
        <f t="shared" si="1"/>
        <v>55790</v>
      </c>
      <c r="J58" s="165">
        <v>7065</v>
      </c>
      <c r="K58">
        <v>313</v>
      </c>
      <c r="L58" s="1">
        <v>834</v>
      </c>
      <c r="M58" s="56">
        <v>427.8</v>
      </c>
      <c r="N58" s="170"/>
      <c r="O58" s="170"/>
      <c r="P58" s="169"/>
      <c r="Q58" s="169"/>
    </row>
    <row r="59" spans="1:17">
      <c r="A59" t="s">
        <v>313</v>
      </c>
      <c r="B59" s="87" t="s">
        <v>317</v>
      </c>
      <c r="C59" s="172">
        <v>316.94247000000001</v>
      </c>
      <c r="D59" s="87">
        <v>2013</v>
      </c>
      <c r="E59" s="164">
        <v>145100</v>
      </c>
      <c r="F59" s="164">
        <v>195700</v>
      </c>
      <c r="G59" s="164">
        <v>280000</v>
      </c>
      <c r="H59" s="164">
        <v>207000</v>
      </c>
      <c r="I59" s="164">
        <f t="shared" si="1"/>
        <v>50600</v>
      </c>
      <c r="J59" s="165">
        <v>8100</v>
      </c>
      <c r="K59">
        <v>315</v>
      </c>
      <c r="L59" s="1">
        <v>740</v>
      </c>
      <c r="M59" s="56">
        <v>442</v>
      </c>
      <c r="N59" s="170"/>
      <c r="O59" s="170"/>
      <c r="P59" s="169"/>
      <c r="Q59" s="169"/>
    </row>
    <row r="60" spans="1:17">
      <c r="A60" t="s">
        <v>329</v>
      </c>
      <c r="B60" s="87" t="s">
        <v>337</v>
      </c>
      <c r="C60" s="172">
        <v>329.90409</v>
      </c>
      <c r="D60" s="87">
        <v>2006</v>
      </c>
      <c r="E60" s="164">
        <v>156030</v>
      </c>
      <c r="F60" s="164">
        <v>209110</v>
      </c>
      <c r="G60" s="164">
        <v>347800</v>
      </c>
      <c r="H60" s="164">
        <v>251290</v>
      </c>
      <c r="I60" s="164">
        <f t="shared" si="1"/>
        <v>53080</v>
      </c>
      <c r="J60" s="165">
        <v>8555</v>
      </c>
      <c r="K60">
        <v>317</v>
      </c>
      <c r="L60" s="1">
        <v>1026</v>
      </c>
      <c r="M60" s="56">
        <v>436.8</v>
      </c>
      <c r="N60" s="170"/>
      <c r="O60" s="170"/>
      <c r="P60" s="169"/>
      <c r="Q60" s="169"/>
    </row>
    <row r="61" spans="1:17">
      <c r="A61" t="s">
        <v>381</v>
      </c>
      <c r="B61" s="87" t="s">
        <v>384</v>
      </c>
      <c r="C61" s="172">
        <v>185.166</v>
      </c>
      <c r="D61" s="87">
        <v>1990</v>
      </c>
      <c r="E61" s="164">
        <v>132800</v>
      </c>
      <c r="F61" s="164">
        <v>181400</v>
      </c>
      <c r="G61" s="164">
        <v>273310</v>
      </c>
      <c r="H61" s="164">
        <v>195045</v>
      </c>
      <c r="I61" s="164">
        <f t="shared" si="1"/>
        <v>48600</v>
      </c>
      <c r="J61" s="165">
        <v>6840</v>
      </c>
      <c r="K61">
        <v>323</v>
      </c>
      <c r="L61" s="1">
        <v>822</v>
      </c>
      <c r="M61" s="56">
        <v>338.9</v>
      </c>
      <c r="N61" s="170"/>
      <c r="O61" s="170"/>
      <c r="P61" s="169"/>
      <c r="Q61" s="169"/>
    </row>
    <row r="62" spans="1:17">
      <c r="A62" t="s">
        <v>381</v>
      </c>
      <c r="B62" s="87" t="s">
        <v>382</v>
      </c>
      <c r="C62" s="172">
        <v>205.73999999999998</v>
      </c>
      <c r="D62" s="87">
        <v>1994</v>
      </c>
      <c r="E62" s="164">
        <v>132800</v>
      </c>
      <c r="F62" s="164">
        <v>181400</v>
      </c>
      <c r="G62" s="164">
        <v>286250</v>
      </c>
      <c r="H62" s="164">
        <v>195045</v>
      </c>
      <c r="I62" s="164">
        <f t="shared" si="1"/>
        <v>48600</v>
      </c>
      <c r="J62" s="165">
        <v>7240</v>
      </c>
      <c r="K62">
        <v>323</v>
      </c>
      <c r="L62" s="1">
        <v>840</v>
      </c>
      <c r="M62" s="56">
        <v>543</v>
      </c>
      <c r="N62" s="170"/>
      <c r="O62" s="170"/>
      <c r="P62" s="169"/>
      <c r="Q62" s="169"/>
    </row>
    <row r="63" spans="1:17">
      <c r="A63" t="s">
        <v>313</v>
      </c>
      <c r="B63" s="87" t="s">
        <v>321</v>
      </c>
      <c r="C63" s="172">
        <v>283.30397999999997</v>
      </c>
      <c r="D63" s="87">
        <v>2002</v>
      </c>
      <c r="E63" s="164">
        <v>177047</v>
      </c>
      <c r="F63" s="164">
        <v>246000</v>
      </c>
      <c r="G63" s="164">
        <v>380000</v>
      </c>
      <c r="H63" s="164">
        <v>265000</v>
      </c>
      <c r="I63" s="164">
        <f t="shared" si="1"/>
        <v>68953</v>
      </c>
      <c r="J63" s="165">
        <v>7800</v>
      </c>
      <c r="K63">
        <v>326</v>
      </c>
      <c r="L63" s="1">
        <v>996.4</v>
      </c>
      <c r="M63" s="56">
        <v>437.3</v>
      </c>
      <c r="N63" s="170"/>
      <c r="O63" s="170"/>
      <c r="P63" s="169"/>
      <c r="Q63" s="169"/>
    </row>
    <row r="64" spans="1:17">
      <c r="A64" t="s">
        <v>329</v>
      </c>
      <c r="B64" s="87" t="s">
        <v>331</v>
      </c>
      <c r="C64" s="172">
        <v>325.8</v>
      </c>
      <c r="D64" s="87">
        <v>2018</v>
      </c>
      <c r="E64" s="164">
        <v>135500</v>
      </c>
      <c r="F64" s="164">
        <v>192777</v>
      </c>
      <c r="G64" s="164">
        <v>254011</v>
      </c>
      <c r="H64" s="164">
        <v>201849</v>
      </c>
      <c r="I64" s="164">
        <f t="shared" si="1"/>
        <v>57277</v>
      </c>
      <c r="J64" s="165">
        <v>6430</v>
      </c>
      <c r="K64">
        <v>330</v>
      </c>
      <c r="L64" s="1">
        <v>680</v>
      </c>
      <c r="M64" s="56">
        <v>377</v>
      </c>
      <c r="N64" s="170"/>
      <c r="O64" s="170"/>
      <c r="P64" s="169"/>
      <c r="Q64" s="169"/>
    </row>
    <row r="65" spans="1:17">
      <c r="A65" t="s">
        <v>329</v>
      </c>
      <c r="B65" s="87" t="s">
        <v>338</v>
      </c>
      <c r="C65" s="172">
        <v>357.06177000000002</v>
      </c>
      <c r="D65" s="87">
        <v>2004</v>
      </c>
      <c r="E65" s="164">
        <v>169190</v>
      </c>
      <c r="F65" s="164">
        <v>237641</v>
      </c>
      <c r="G65" s="164">
        <v>351800</v>
      </c>
      <c r="H65" s="164">
        <v>251290</v>
      </c>
      <c r="I65" s="164">
        <f t="shared" si="1"/>
        <v>68451</v>
      </c>
      <c r="J65" s="165">
        <v>7370</v>
      </c>
      <c r="K65">
        <v>365</v>
      </c>
      <c r="L65" s="1">
        <v>1026</v>
      </c>
      <c r="M65" s="56">
        <v>436.8</v>
      </c>
      <c r="N65" s="170"/>
      <c r="O65" s="170"/>
      <c r="P65" s="169"/>
      <c r="Q65" s="169"/>
    </row>
    <row r="66" spans="1:17">
      <c r="A66" t="s">
        <v>313</v>
      </c>
      <c r="B66" s="87" t="s">
        <v>314</v>
      </c>
      <c r="C66" s="172">
        <v>366.5</v>
      </c>
      <c r="D66" s="87">
        <v>2018</v>
      </c>
      <c r="E66" s="164">
        <v>158000</v>
      </c>
      <c r="F66" s="164">
        <v>223000</v>
      </c>
      <c r="G66" s="164">
        <v>316000</v>
      </c>
      <c r="H66" s="164">
        <v>236000</v>
      </c>
      <c r="I66" s="164">
        <f t="shared" ref="I66:I72" si="2">F66-E66</f>
        <v>65000</v>
      </c>
      <c r="J66" s="165">
        <v>8400</v>
      </c>
      <c r="K66">
        <v>366</v>
      </c>
      <c r="L66" s="1">
        <v>863</v>
      </c>
      <c r="M66" s="56">
        <v>464.3</v>
      </c>
      <c r="N66" s="170"/>
      <c r="O66" s="170"/>
      <c r="P66" s="169"/>
      <c r="Q66" s="169"/>
    </row>
    <row r="67" spans="1:17">
      <c r="A67" t="s">
        <v>329</v>
      </c>
      <c r="B67" s="87" t="s">
        <v>345</v>
      </c>
      <c r="C67" s="172">
        <v>278.10904500000004</v>
      </c>
      <c r="D67" s="87">
        <v>1998</v>
      </c>
      <c r="E67" s="164">
        <v>158480</v>
      </c>
      <c r="F67" s="164">
        <v>224530</v>
      </c>
      <c r="G67" s="164">
        <v>299370</v>
      </c>
      <c r="H67" s="164">
        <v>237683</v>
      </c>
      <c r="I67" s="164">
        <f t="shared" si="2"/>
        <v>66050</v>
      </c>
      <c r="J67" s="165">
        <v>6030</v>
      </c>
      <c r="K67">
        <v>368</v>
      </c>
      <c r="L67" s="1">
        <v>846</v>
      </c>
      <c r="M67" s="56">
        <v>427.8</v>
      </c>
      <c r="N67" s="170"/>
      <c r="O67" s="170"/>
      <c r="P67" s="169"/>
      <c r="Q67" s="169"/>
    </row>
    <row r="68" spans="1:17">
      <c r="A68" t="s">
        <v>379</v>
      </c>
      <c r="B68" s="87" t="s">
        <v>380</v>
      </c>
      <c r="C68" s="172"/>
      <c r="D68" s="87">
        <v>1995</v>
      </c>
      <c r="E68" s="164">
        <v>122300</v>
      </c>
      <c r="F68" s="164">
        <v>190400</v>
      </c>
      <c r="G68" s="164">
        <v>265000</v>
      </c>
      <c r="H68" s="164">
        <v>220000</v>
      </c>
      <c r="I68" s="164">
        <f t="shared" si="2"/>
        <v>68100</v>
      </c>
      <c r="J68" s="165">
        <v>5400</v>
      </c>
      <c r="K68">
        <v>386</v>
      </c>
      <c r="L68" s="1">
        <v>658.4</v>
      </c>
      <c r="M68" s="56">
        <v>391.6</v>
      </c>
      <c r="N68" s="170"/>
      <c r="O68" s="170"/>
      <c r="P68" s="169"/>
      <c r="Q68" s="169"/>
    </row>
    <row r="69" spans="1:17">
      <c r="A69" t="s">
        <v>329</v>
      </c>
      <c r="B69" s="87" t="s">
        <v>339</v>
      </c>
      <c r="C69" s="172">
        <v>315.75946499999998</v>
      </c>
      <c r="D69" s="87">
        <v>2000</v>
      </c>
      <c r="E69" s="164">
        <v>186330</v>
      </c>
      <c r="F69" s="164">
        <v>251740</v>
      </c>
      <c r="G69" s="164">
        <v>412760</v>
      </c>
      <c r="H69" s="164">
        <v>295743</v>
      </c>
      <c r="I69" s="164">
        <f t="shared" si="2"/>
        <v>65410</v>
      </c>
      <c r="J69" s="165">
        <v>7565</v>
      </c>
      <c r="K69">
        <v>416</v>
      </c>
      <c r="L69" s="1">
        <v>1128</v>
      </c>
      <c r="M69" s="56">
        <v>525</v>
      </c>
      <c r="N69" s="170"/>
      <c r="O69" s="170"/>
      <c r="P69" s="169"/>
      <c r="Q69" s="169"/>
    </row>
    <row r="70" spans="1:17">
      <c r="A70" t="s">
        <v>329</v>
      </c>
      <c r="B70" s="87" t="s">
        <v>351</v>
      </c>
      <c r="C70" s="172">
        <v>276.72030000000001</v>
      </c>
      <c r="D70" s="87">
        <v>1989</v>
      </c>
      <c r="E70" s="164">
        <v>181120</v>
      </c>
      <c r="F70" s="164">
        <v>251740</v>
      </c>
      <c r="G70" s="164">
        <v>396900</v>
      </c>
      <c r="H70" s="164">
        <v>295743</v>
      </c>
      <c r="I70" s="164">
        <f t="shared" si="2"/>
        <v>70620</v>
      </c>
      <c r="J70" s="165">
        <v>7585</v>
      </c>
      <c r="K70">
        <v>416</v>
      </c>
      <c r="L70" s="1">
        <v>1009.6</v>
      </c>
      <c r="M70" s="56">
        <v>525</v>
      </c>
      <c r="N70" s="170"/>
      <c r="O70" s="170"/>
      <c r="P70" s="169"/>
      <c r="Q70" s="169"/>
    </row>
    <row r="71" spans="1:17">
      <c r="A71" t="s">
        <v>329</v>
      </c>
      <c r="B71" t="s">
        <v>334</v>
      </c>
      <c r="C71" s="172">
        <v>397.90116</v>
      </c>
      <c r="D71" s="87">
        <v>2010</v>
      </c>
      <c r="E71" s="164">
        <v>215160</v>
      </c>
      <c r="F71" s="164">
        <v>291660</v>
      </c>
      <c r="G71" s="164">
        <v>442250</v>
      </c>
      <c r="H71" s="164">
        <v>306175</v>
      </c>
      <c r="I71" s="164">
        <f t="shared" si="2"/>
        <v>76500</v>
      </c>
      <c r="J71" s="165">
        <v>7730</v>
      </c>
      <c r="K71">
        <v>467</v>
      </c>
      <c r="L71" s="1">
        <v>1184</v>
      </c>
      <c r="M71" s="56">
        <v>554</v>
      </c>
      <c r="N71" s="170"/>
      <c r="O71" s="170"/>
      <c r="P71" s="169"/>
      <c r="Q71" s="169"/>
    </row>
    <row r="72" spans="1:17">
      <c r="A72" t="s">
        <v>313</v>
      </c>
      <c r="B72" s="87" t="s">
        <v>318</v>
      </c>
      <c r="C72" s="172">
        <v>445.01562000000001</v>
      </c>
      <c r="D72" s="87">
        <v>2004</v>
      </c>
      <c r="E72" s="164">
        <v>277000</v>
      </c>
      <c r="F72" s="164">
        <v>361000</v>
      </c>
      <c r="G72" s="164">
        <v>560000</v>
      </c>
      <c r="H72" s="164">
        <v>394000</v>
      </c>
      <c r="I72" s="164">
        <f t="shared" si="2"/>
        <v>84000</v>
      </c>
      <c r="J72" s="165">
        <v>8200</v>
      </c>
      <c r="K72">
        <v>544</v>
      </c>
      <c r="L72" s="1">
        <v>1176</v>
      </c>
      <c r="M72" s="56">
        <v>817</v>
      </c>
      <c r="N72" s="170"/>
      <c r="O72" s="170"/>
      <c r="P72" s="169"/>
      <c r="Q72" s="169"/>
    </row>
    <row r="74" spans="1:17">
      <c r="O74" s="170"/>
    </row>
    <row r="79" spans="1:17" ht="43.2">
      <c r="A79" s="163" t="s">
        <v>300</v>
      </c>
      <c r="B79" s="163" t="s">
        <v>301</v>
      </c>
      <c r="C79" s="171" t="s">
        <v>302</v>
      </c>
      <c r="D79" s="171" t="s">
        <v>303</v>
      </c>
      <c r="E79" s="163" t="s">
        <v>304</v>
      </c>
      <c r="F79" s="163" t="s">
        <v>305</v>
      </c>
      <c r="G79" s="163" t="s">
        <v>306</v>
      </c>
      <c r="H79" s="163" t="s">
        <v>307</v>
      </c>
      <c r="I79" s="163" t="s">
        <v>308</v>
      </c>
      <c r="J79" s="163" t="s">
        <v>309</v>
      </c>
      <c r="K79" s="163" t="s">
        <v>310</v>
      </c>
      <c r="L79" s="163" t="s">
        <v>311</v>
      </c>
      <c r="M79" s="163" t="s">
        <v>312</v>
      </c>
      <c r="N79" s="171" t="s">
        <v>441</v>
      </c>
      <c r="O79" s="320" t="s">
        <v>442</v>
      </c>
    </row>
    <row r="80" spans="1:17">
      <c r="A80" s="293" t="s">
        <v>358</v>
      </c>
      <c r="B80" s="294" t="s">
        <v>363</v>
      </c>
      <c r="C80" s="172">
        <v>43.205399999999997</v>
      </c>
      <c r="D80" s="87">
        <v>2001</v>
      </c>
      <c r="E80" s="164">
        <v>21433</v>
      </c>
      <c r="F80" s="164">
        <v>32024</v>
      </c>
      <c r="G80" s="164">
        <v>38330</v>
      </c>
      <c r="H80" s="164">
        <v>34019</v>
      </c>
      <c r="I80" s="164">
        <v>10591</v>
      </c>
      <c r="J80" s="166">
        <v>1719</v>
      </c>
      <c r="K80">
        <v>75</v>
      </c>
      <c r="L80" s="1">
        <v>116.8</v>
      </c>
      <c r="M80" s="56">
        <v>70.61</v>
      </c>
      <c r="N80" s="296">
        <f>(L80*1000/(G80*9.81))</f>
        <v>0.31062400586355998</v>
      </c>
      <c r="O80" s="296">
        <f>G80*9.81/M80</f>
        <v>5325.2697918141912</v>
      </c>
    </row>
    <row r="81" spans="1:15">
      <c r="A81" s="293" t="s">
        <v>358</v>
      </c>
      <c r="B81" s="294" t="s">
        <v>361</v>
      </c>
      <c r="C81" s="172">
        <v>42.588179999999994</v>
      </c>
      <c r="D81" s="87">
        <v>2005</v>
      </c>
      <c r="E81" s="164">
        <v>19731</v>
      </c>
      <c r="F81" s="164">
        <v>28259</v>
      </c>
      <c r="G81" s="164">
        <v>34019</v>
      </c>
      <c r="H81" s="164">
        <v>30391</v>
      </c>
      <c r="I81" s="164">
        <v>8528</v>
      </c>
      <c r="J81" s="167">
        <v>1092</v>
      </c>
      <c r="K81">
        <v>78</v>
      </c>
      <c r="L81" s="1">
        <v>112.8</v>
      </c>
      <c r="M81" s="56">
        <v>70.61</v>
      </c>
      <c r="N81" s="296">
        <f t="shared" ref="N81:N95" si="3">(L81*1000/(G81*9.81))</f>
        <v>0.33800143884335904</v>
      </c>
      <c r="O81" s="296">
        <f t="shared" ref="O81:O95" si="4">G81*9.81/M81</f>
        <v>4726.3332389180005</v>
      </c>
    </row>
    <row r="82" spans="1:15">
      <c r="A82" s="293" t="s">
        <v>377</v>
      </c>
      <c r="B82" s="294" t="s">
        <v>378</v>
      </c>
      <c r="C82" s="172"/>
      <c r="D82" s="87">
        <v>1993</v>
      </c>
      <c r="E82" s="164">
        <v>22673</v>
      </c>
      <c r="F82" s="164">
        <v>33565</v>
      </c>
      <c r="G82" s="164">
        <v>41730</v>
      </c>
      <c r="H82" s="164">
        <v>36740</v>
      </c>
      <c r="I82" s="164">
        <v>10892</v>
      </c>
      <c r="J82" s="166">
        <v>1790</v>
      </c>
      <c r="K82">
        <v>79</v>
      </c>
      <c r="L82" s="1">
        <v>123.2</v>
      </c>
      <c r="M82" s="56">
        <v>93.5</v>
      </c>
      <c r="N82" s="296">
        <f t="shared" si="3"/>
        <v>0.3009492849156743</v>
      </c>
      <c r="O82" s="296">
        <f t="shared" si="4"/>
        <v>4378.3026737967921</v>
      </c>
    </row>
    <row r="83" spans="1:15">
      <c r="A83" s="293" t="s">
        <v>394</v>
      </c>
      <c r="B83" s="294" t="s">
        <v>365</v>
      </c>
      <c r="C83" s="172"/>
      <c r="D83" s="87">
        <v>1983</v>
      </c>
      <c r="E83" s="164">
        <v>24600</v>
      </c>
      <c r="F83" s="164">
        <v>35833</v>
      </c>
      <c r="G83" s="164">
        <v>42184</v>
      </c>
      <c r="H83" s="164">
        <v>40143</v>
      </c>
      <c r="I83" s="164">
        <v>11233</v>
      </c>
      <c r="J83" s="167">
        <v>1366</v>
      </c>
      <c r="K83">
        <v>85</v>
      </c>
      <c r="L83" s="1">
        <v>124.52</v>
      </c>
      <c r="M83" s="56">
        <v>77.3</v>
      </c>
      <c r="N83" s="296">
        <f t="shared" si="3"/>
        <v>0.30090010986285409</v>
      </c>
      <c r="O83" s="296">
        <f t="shared" si="4"/>
        <v>5353.4934023285905</v>
      </c>
    </row>
    <row r="84" spans="1:15">
      <c r="A84" s="293" t="s">
        <v>366</v>
      </c>
      <c r="B84" s="294" t="s">
        <v>369</v>
      </c>
      <c r="C84" s="172">
        <v>50.591465999999997</v>
      </c>
      <c r="D84" s="87">
        <v>2003</v>
      </c>
      <c r="E84" s="164">
        <v>21870</v>
      </c>
      <c r="F84" s="164">
        <v>31700</v>
      </c>
      <c r="G84" s="164">
        <v>37500</v>
      </c>
      <c r="H84" s="164">
        <v>34000</v>
      </c>
      <c r="I84" s="164">
        <v>9830</v>
      </c>
      <c r="J84" s="166">
        <v>1750</v>
      </c>
      <c r="K84">
        <v>88</v>
      </c>
      <c r="L84" s="1">
        <v>126.32</v>
      </c>
      <c r="M84" s="56">
        <v>72.72</v>
      </c>
      <c r="N84" s="296">
        <f t="shared" si="3"/>
        <v>0.34337750594631328</v>
      </c>
      <c r="O84" s="296">
        <f t="shared" si="4"/>
        <v>5058.787128712871</v>
      </c>
    </row>
    <row r="85" spans="1:15">
      <c r="A85" s="293" t="s">
        <v>358</v>
      </c>
      <c r="B85" s="294" t="s">
        <v>362</v>
      </c>
      <c r="C85" s="172">
        <v>47.83455</v>
      </c>
      <c r="D85" s="87">
        <v>2003</v>
      </c>
      <c r="E85" s="164">
        <v>21432</v>
      </c>
      <c r="F85" s="164">
        <v>31751</v>
      </c>
      <c r="G85" s="164">
        <v>36514</v>
      </c>
      <c r="H85" s="164">
        <v>33340</v>
      </c>
      <c r="I85" s="164">
        <v>10319</v>
      </c>
      <c r="J85" s="167">
        <v>938</v>
      </c>
      <c r="K85">
        <v>90</v>
      </c>
      <c r="L85" s="1">
        <v>116.8</v>
      </c>
      <c r="M85" s="56">
        <v>70.61</v>
      </c>
      <c r="N85" s="296">
        <f t="shared" si="3"/>
        <v>0.32607268841403991</v>
      </c>
      <c r="O85" s="296">
        <f t="shared" si="4"/>
        <v>5072.9689845630937</v>
      </c>
    </row>
    <row r="86" spans="1:15">
      <c r="A86" s="293" t="s">
        <v>389</v>
      </c>
      <c r="B86" s="294" t="s">
        <v>391</v>
      </c>
      <c r="C86" s="172">
        <v>27.3</v>
      </c>
      <c r="D86" s="87">
        <v>2008</v>
      </c>
      <c r="E86" s="164">
        <v>24250</v>
      </c>
      <c r="F86" s="164">
        <v>40000</v>
      </c>
      <c r="G86" s="164">
        <v>45880</v>
      </c>
      <c r="H86" s="164">
        <v>41000</v>
      </c>
      <c r="I86" s="164">
        <v>15750</v>
      </c>
      <c r="J86" s="166">
        <v>1645</v>
      </c>
      <c r="K86">
        <v>98</v>
      </c>
      <c r="L86" s="1">
        <v>155.80000000000001</v>
      </c>
      <c r="M86" s="56">
        <v>84</v>
      </c>
      <c r="N86" s="296">
        <f t="shared" si="3"/>
        <v>0.34615852905287647</v>
      </c>
      <c r="O86" s="296">
        <f t="shared" si="4"/>
        <v>5358.1285714285723</v>
      </c>
    </row>
    <row r="87" spans="1:15">
      <c r="A87" s="293" t="s">
        <v>358</v>
      </c>
      <c r="B87" s="294" t="s">
        <v>360</v>
      </c>
      <c r="C87" s="172">
        <v>50.920649999999995</v>
      </c>
      <c r="D87" s="87">
        <v>2009</v>
      </c>
      <c r="E87" s="164">
        <v>23179</v>
      </c>
      <c r="F87" s="164">
        <v>35154</v>
      </c>
      <c r="G87" s="164">
        <v>41640</v>
      </c>
      <c r="H87" s="164">
        <v>36968</v>
      </c>
      <c r="I87" s="164">
        <v>11975</v>
      </c>
      <c r="J87" s="167">
        <v>1425</v>
      </c>
      <c r="K87">
        <v>104</v>
      </c>
      <c r="L87" s="1">
        <v>121.2</v>
      </c>
      <c r="M87" s="56">
        <v>77.400000000000006</v>
      </c>
      <c r="N87" s="296">
        <f t="shared" si="3"/>
        <v>0.2967036518050451</v>
      </c>
      <c r="O87" s="296">
        <f t="shared" si="4"/>
        <v>5277.6279069767443</v>
      </c>
    </row>
    <row r="88" spans="1:15">
      <c r="A88" s="293" t="s">
        <v>329</v>
      </c>
      <c r="B88" s="295" t="s">
        <v>341</v>
      </c>
      <c r="C88" s="172">
        <v>53.656991999999995</v>
      </c>
      <c r="D88" s="87">
        <v>1998</v>
      </c>
      <c r="E88" s="164">
        <v>31130</v>
      </c>
      <c r="F88" s="164">
        <v>45580</v>
      </c>
      <c r="G88" s="164">
        <v>54880</v>
      </c>
      <c r="H88" s="164">
        <v>49898</v>
      </c>
      <c r="I88" s="164">
        <v>14450</v>
      </c>
      <c r="J88" s="166">
        <v>2060</v>
      </c>
      <c r="K88">
        <v>106</v>
      </c>
      <c r="L88" s="1">
        <v>195.8</v>
      </c>
      <c r="M88" s="56">
        <v>92.97</v>
      </c>
      <c r="N88" s="296">
        <f t="shared" si="3"/>
        <v>0.36368850729457353</v>
      </c>
      <c r="O88" s="296">
        <f t="shared" si="4"/>
        <v>5790.8228460793807</v>
      </c>
    </row>
    <row r="89" spans="1:15">
      <c r="A89" s="293" t="s">
        <v>366</v>
      </c>
      <c r="B89" s="294" t="s">
        <v>368</v>
      </c>
      <c r="C89" s="172">
        <v>57.936383999999997</v>
      </c>
      <c r="D89" s="87">
        <v>2004</v>
      </c>
      <c r="E89" s="164">
        <v>27737</v>
      </c>
      <c r="F89" s="164">
        <v>40800</v>
      </c>
      <c r="G89" s="164">
        <v>47790</v>
      </c>
      <c r="H89" s="164">
        <v>43000</v>
      </c>
      <c r="I89" s="164">
        <v>13063</v>
      </c>
      <c r="J89" s="166">
        <v>1850</v>
      </c>
      <c r="K89">
        <v>114</v>
      </c>
      <c r="L89" s="1">
        <v>165.78</v>
      </c>
      <c r="M89" s="56">
        <v>92.53</v>
      </c>
      <c r="N89" s="296">
        <f t="shared" si="3"/>
        <v>0.353611269487494</v>
      </c>
      <c r="O89" s="296">
        <f t="shared" si="4"/>
        <v>5066.6799956770783</v>
      </c>
    </row>
    <row r="90" spans="1:15">
      <c r="A90" s="293" t="s">
        <v>329</v>
      </c>
      <c r="B90" s="294" t="s">
        <v>350</v>
      </c>
      <c r="C90" s="172">
        <v>61.968888</v>
      </c>
      <c r="D90" s="87">
        <v>1989</v>
      </c>
      <c r="E90" s="164">
        <v>31311</v>
      </c>
      <c r="F90" s="164">
        <v>46720</v>
      </c>
      <c r="G90" s="164">
        <v>61915</v>
      </c>
      <c r="H90" s="164">
        <v>49895</v>
      </c>
      <c r="I90" s="164">
        <v>15409</v>
      </c>
      <c r="J90" s="166">
        <v>2402</v>
      </c>
      <c r="K90">
        <v>122</v>
      </c>
      <c r="L90" s="1">
        <v>164.6</v>
      </c>
      <c r="M90" s="56">
        <v>91.04</v>
      </c>
      <c r="N90" s="296">
        <f t="shared" si="3"/>
        <v>0.27099728895695102</v>
      </c>
      <c r="O90" s="296">
        <f t="shared" si="4"/>
        <v>6671.6404876977149</v>
      </c>
    </row>
    <row r="91" spans="1:15">
      <c r="A91" s="293" t="s">
        <v>366</v>
      </c>
      <c r="B91" s="294" t="s">
        <v>367</v>
      </c>
      <c r="C91" s="172">
        <v>65.291589000000002</v>
      </c>
      <c r="D91" s="87">
        <v>2006</v>
      </c>
      <c r="E91" s="164">
        <v>28567</v>
      </c>
      <c r="F91" s="164">
        <v>42500</v>
      </c>
      <c r="G91" s="164">
        <v>48790</v>
      </c>
      <c r="H91" s="164">
        <v>45000</v>
      </c>
      <c r="I91" s="164">
        <v>13933</v>
      </c>
      <c r="J91" s="166">
        <v>1600</v>
      </c>
      <c r="K91">
        <v>124</v>
      </c>
      <c r="L91" s="1">
        <v>165.78</v>
      </c>
      <c r="M91" s="56">
        <v>92.53</v>
      </c>
      <c r="N91" s="296">
        <f t="shared" si="3"/>
        <v>0.34636365174845951</v>
      </c>
      <c r="O91" s="296">
        <f t="shared" si="4"/>
        <v>5172.699664973522</v>
      </c>
    </row>
    <row r="92" spans="1:15">
      <c r="A92" s="293" t="s">
        <v>381</v>
      </c>
      <c r="B92" s="294" t="s">
        <v>385</v>
      </c>
      <c r="C92" s="172"/>
      <c r="D92" s="87">
        <v>1986</v>
      </c>
      <c r="E92" s="164">
        <v>35310</v>
      </c>
      <c r="F92" s="164">
        <v>50800</v>
      </c>
      <c r="G92" s="164">
        <v>63800</v>
      </c>
      <c r="H92" s="164">
        <v>58059</v>
      </c>
      <c r="I92" s="164">
        <v>15490</v>
      </c>
      <c r="J92" s="166">
        <v>2370</v>
      </c>
      <c r="K92">
        <v>130</v>
      </c>
      <c r="L92" s="1">
        <v>186</v>
      </c>
      <c r="M92" s="56">
        <v>112.3</v>
      </c>
      <c r="N92" s="296">
        <f t="shared" si="3"/>
        <v>0.29718251799871542</v>
      </c>
      <c r="O92" s="296">
        <f t="shared" si="4"/>
        <v>5573.2680320569907</v>
      </c>
    </row>
    <row r="93" spans="1:15">
      <c r="A93" s="293" t="s">
        <v>381</v>
      </c>
      <c r="B93" s="294" t="s">
        <v>388</v>
      </c>
      <c r="C93" s="172">
        <v>49.891949999999994</v>
      </c>
      <c r="D93" s="87">
        <v>1975</v>
      </c>
      <c r="E93" s="164">
        <v>29300</v>
      </c>
      <c r="F93" s="164">
        <v>44670</v>
      </c>
      <c r="G93" s="164">
        <v>54400</v>
      </c>
      <c r="H93" s="164">
        <v>49895</v>
      </c>
      <c r="I93" s="164">
        <v>15370</v>
      </c>
      <c r="J93" s="166">
        <v>1795</v>
      </c>
      <c r="K93">
        <v>139</v>
      </c>
      <c r="L93" s="1">
        <v>146</v>
      </c>
      <c r="M93" s="56">
        <v>92.97</v>
      </c>
      <c r="N93" s="296">
        <f t="shared" si="3"/>
        <v>0.27358038016429814</v>
      </c>
      <c r="O93" s="296">
        <f t="shared" si="4"/>
        <v>5740.1742497579862</v>
      </c>
    </row>
    <row r="94" spans="1:15">
      <c r="A94" s="293" t="s">
        <v>381</v>
      </c>
      <c r="B94" s="294" t="s">
        <v>386</v>
      </c>
      <c r="C94" s="172"/>
      <c r="D94" s="87">
        <v>1984</v>
      </c>
      <c r="E94" s="164">
        <v>38737</v>
      </c>
      <c r="F94" s="164">
        <v>55340</v>
      </c>
      <c r="G94" s="164">
        <v>75580</v>
      </c>
      <c r="H94" s="164">
        <v>63049</v>
      </c>
      <c r="I94" s="164">
        <v>16603</v>
      </c>
      <c r="J94" s="166">
        <v>2500</v>
      </c>
      <c r="K94">
        <v>155</v>
      </c>
      <c r="L94" s="1">
        <v>186</v>
      </c>
      <c r="M94" s="56">
        <v>112.3</v>
      </c>
      <c r="N94" s="296">
        <f t="shared" si="3"/>
        <v>0.2508632528224139</v>
      </c>
      <c r="O94" s="296">
        <f t="shared" si="4"/>
        <v>6602.3134461264472</v>
      </c>
    </row>
    <row r="95" spans="1:15">
      <c r="A95" s="293" t="s">
        <v>329</v>
      </c>
      <c r="B95" s="294" t="s">
        <v>352</v>
      </c>
      <c r="C95" s="172">
        <v>77.841729000000001</v>
      </c>
      <c r="D95" s="87">
        <v>1988</v>
      </c>
      <c r="E95" s="164">
        <v>33643</v>
      </c>
      <c r="F95" s="164">
        <v>53070</v>
      </c>
      <c r="G95" s="164">
        <v>68266</v>
      </c>
      <c r="H95" s="164">
        <v>56246</v>
      </c>
      <c r="I95" s="164">
        <v>19427</v>
      </c>
      <c r="J95" s="166">
        <v>2270</v>
      </c>
      <c r="K95">
        <v>159</v>
      </c>
      <c r="L95" s="1">
        <v>195.8</v>
      </c>
      <c r="M95" s="56">
        <v>91.04</v>
      </c>
      <c r="N95" s="296">
        <f t="shared" si="3"/>
        <v>0.29237431928524005</v>
      </c>
      <c r="O95" s="296">
        <f t="shared" si="4"/>
        <v>7355.9914323374342</v>
      </c>
    </row>
  </sheetData>
  <autoFilter ref="K1:K75" xr:uid="{4E4D0607-4722-427A-B7C6-BF01ABD0C1D2}">
    <sortState xmlns:xlrd2="http://schemas.microsoft.com/office/spreadsheetml/2017/richdata2" ref="A2:M75">
      <sortCondition ref="K1:K75"/>
    </sortState>
  </autoFilter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D31"/>
  <sheetViews>
    <sheetView zoomScale="70" zoomScaleNormal="70" workbookViewId="0">
      <selection activeCell="S23" sqref="S23"/>
    </sheetView>
  </sheetViews>
  <sheetFormatPr defaultRowHeight="14.4"/>
  <cols>
    <col min="1" max="1" width="25.88671875" bestFit="1" customWidth="1"/>
    <col min="2" max="2" width="10.33203125" customWidth="1"/>
    <col min="3" max="3" width="4.44140625" customWidth="1"/>
    <col min="4" max="4" width="24.109375" bestFit="1" customWidth="1"/>
    <col min="5" max="5" width="10.6640625" customWidth="1"/>
    <col min="14" max="14" width="14.33203125" customWidth="1"/>
    <col min="15" max="15" width="16.6640625" customWidth="1"/>
    <col min="16" max="16" width="18.5546875" style="70" customWidth="1"/>
    <col min="17" max="17" width="35.33203125" customWidth="1"/>
    <col min="22" max="22" width="13.109375" customWidth="1"/>
    <col min="23" max="23" width="35" customWidth="1"/>
    <col min="25" max="25" width="15" customWidth="1"/>
  </cols>
  <sheetData>
    <row r="1" spans="1:30">
      <c r="A1" s="280" t="s">
        <v>18</v>
      </c>
      <c r="O1" s="10" t="s">
        <v>161</v>
      </c>
    </row>
    <row r="2" spans="1:30">
      <c r="A2" s="89" t="s">
        <v>2</v>
      </c>
      <c r="B2" s="101">
        <v>1750</v>
      </c>
      <c r="O2" s="89" t="s">
        <v>23</v>
      </c>
      <c r="P2" s="319">
        <v>0.44690000000000002</v>
      </c>
    </row>
    <row r="3" spans="1:30">
      <c r="A3" s="91" t="s">
        <v>126</v>
      </c>
      <c r="B3" s="97">
        <v>145</v>
      </c>
      <c r="O3" s="91" t="s">
        <v>24</v>
      </c>
      <c r="P3" s="288">
        <v>5025</v>
      </c>
      <c r="R3" t="s">
        <v>455</v>
      </c>
    </row>
    <row r="4" spans="1:30">
      <c r="A4" s="91" t="s">
        <v>12</v>
      </c>
      <c r="B4" s="173">
        <v>2700</v>
      </c>
      <c r="O4" s="91" t="s">
        <v>22</v>
      </c>
      <c r="P4" s="289">
        <f>(R7+R8)*1.03</f>
        <v>15283.552</v>
      </c>
      <c r="Q4" t="s">
        <v>427</v>
      </c>
      <c r="R4">
        <v>83.3</v>
      </c>
      <c r="T4" t="s">
        <v>432</v>
      </c>
    </row>
    <row r="5" spans="1:30">
      <c r="A5" s="94" t="s">
        <v>265</v>
      </c>
      <c r="B5" s="174">
        <f>S_TOFL/1.5</f>
        <v>1800</v>
      </c>
      <c r="O5" s="94" t="s">
        <v>101</v>
      </c>
      <c r="P5" s="290">
        <v>0.52</v>
      </c>
      <c r="Q5" t="s">
        <v>428</v>
      </c>
      <c r="R5">
        <v>16.7</v>
      </c>
      <c r="T5" t="s">
        <v>433</v>
      </c>
      <c r="U5" s="56"/>
    </row>
    <row r="6" spans="1:30" ht="15" thickBot="1">
      <c r="Q6" s="318"/>
    </row>
    <row r="7" spans="1:30">
      <c r="A7" s="10" t="s">
        <v>401</v>
      </c>
      <c r="D7" s="10" t="s">
        <v>115</v>
      </c>
      <c r="O7" s="106" t="s">
        <v>13</v>
      </c>
      <c r="P7" s="107">
        <f>(C_OWE+Payload)/(2.71828^(-ESAR*sfc*2.83*10^-5*9.806/Working!B42/Working!B43) -C_MTOW)</f>
        <v>49326.858525347132</v>
      </c>
      <c r="Q7" t="s">
        <v>443</v>
      </c>
      <c r="R7">
        <f>R4*(R11+S11)</f>
        <v>12328.4</v>
      </c>
      <c r="T7" t="s">
        <v>445</v>
      </c>
    </row>
    <row r="8" spans="1:30">
      <c r="A8" s="89" t="s">
        <v>159</v>
      </c>
      <c r="B8">
        <v>1.67E-2</v>
      </c>
      <c r="D8" s="89" t="s">
        <v>264</v>
      </c>
      <c r="E8" s="103">
        <v>2.0499999999999998</v>
      </c>
      <c r="O8" s="112" t="s">
        <v>40</v>
      </c>
      <c r="P8" s="291">
        <f>MTOM*C_MTOW+C_OWE</f>
        <v>27069.173074977632</v>
      </c>
      <c r="Q8" t="s">
        <v>444</v>
      </c>
      <c r="R8">
        <f>R11*(R5+1.6)+S11*R5</f>
        <v>2510</v>
      </c>
      <c r="T8">
        <f>Payload/Pax</f>
        <v>105.40380689655173</v>
      </c>
      <c r="W8" s="326"/>
      <c r="X8" s="326" t="s">
        <v>455</v>
      </c>
      <c r="Y8" s="326"/>
      <c r="Z8" s="326" t="s">
        <v>430</v>
      </c>
      <c r="AA8" s="326" t="s">
        <v>431</v>
      </c>
    </row>
    <row r="9" spans="1:30" ht="15" thickBot="1">
      <c r="A9" s="91" t="s">
        <v>160</v>
      </c>
      <c r="B9" s="102">
        <v>1.23</v>
      </c>
      <c r="D9" s="91" t="s">
        <v>170</v>
      </c>
      <c r="E9" s="93">
        <v>1.2E-2</v>
      </c>
      <c r="O9" s="108" t="s">
        <v>41</v>
      </c>
      <c r="P9" s="292">
        <f>MTOM-P8-Payload</f>
        <v>6974.1334503694998</v>
      </c>
      <c r="R9" t="s">
        <v>430</v>
      </c>
      <c r="S9" t="s">
        <v>431</v>
      </c>
      <c r="W9" s="326" t="s">
        <v>427</v>
      </c>
      <c r="X9" s="326">
        <v>83.3</v>
      </c>
      <c r="Y9" s="326" t="s">
        <v>456</v>
      </c>
      <c r="Z9" s="326">
        <v>0.15</v>
      </c>
      <c r="AA9" s="326">
        <v>0.85</v>
      </c>
    </row>
    <row r="10" spans="1:30">
      <c r="A10" s="94" t="s">
        <v>21</v>
      </c>
      <c r="B10" s="98">
        <v>9.1999999999999993</v>
      </c>
      <c r="D10" s="89" t="s">
        <v>171</v>
      </c>
      <c r="E10" s="104">
        <v>2.8</v>
      </c>
      <c r="Q10" t="s">
        <v>432</v>
      </c>
      <c r="R10">
        <v>0.15</v>
      </c>
      <c r="S10">
        <v>0.85</v>
      </c>
      <c r="W10" s="326" t="s">
        <v>428</v>
      </c>
      <c r="X10" s="326">
        <v>16.7</v>
      </c>
      <c r="Y10" s="326" t="s">
        <v>457</v>
      </c>
      <c r="Z10" s="327">
        <f>Z9*Pax</f>
        <v>21.75</v>
      </c>
      <c r="AA10" s="326">
        <f>Pax*AA9</f>
        <v>123.25</v>
      </c>
    </row>
    <row r="11" spans="1:30" ht="15" thickBot="1">
      <c r="A11" s="7"/>
      <c r="B11" s="12"/>
      <c r="D11" s="128" t="s">
        <v>196</v>
      </c>
      <c r="E11" s="100">
        <f>0.052+0.02</f>
        <v>7.1999999999999995E-2</v>
      </c>
      <c r="O11" s="10" t="s">
        <v>116</v>
      </c>
      <c r="Q11" t="s">
        <v>433</v>
      </c>
      <c r="R11" s="56">
        <v>24</v>
      </c>
      <c r="S11">
        <v>124</v>
      </c>
      <c r="W11" s="326" t="s">
        <v>458</v>
      </c>
      <c r="X11" s="326">
        <f>R4*Pax</f>
        <v>12078.5</v>
      </c>
      <c r="Y11" s="337"/>
      <c r="Z11" s="337"/>
      <c r="AA11" s="337"/>
    </row>
    <row r="12" spans="1:30">
      <c r="A12" s="10" t="s">
        <v>412</v>
      </c>
      <c r="O12" s="106" t="s">
        <v>119</v>
      </c>
      <c r="P12" s="107">
        <v>5000</v>
      </c>
      <c r="W12" s="326" t="s">
        <v>459</v>
      </c>
      <c r="X12" s="326">
        <f>R11*(R5+1.6)+S11*R5</f>
        <v>2510</v>
      </c>
      <c r="Y12" s="337"/>
      <c r="Z12" s="337"/>
      <c r="AA12" s="337"/>
      <c r="AB12" t="s">
        <v>429</v>
      </c>
    </row>
    <row r="13" spans="1:30" ht="15" thickBot="1">
      <c r="A13" s="89" t="s">
        <v>158</v>
      </c>
      <c r="B13" s="90">
        <v>0.78</v>
      </c>
      <c r="D13" s="10" t="s">
        <v>413</v>
      </c>
      <c r="O13" s="108" t="s">
        <v>0</v>
      </c>
      <c r="P13" s="109">
        <f>0.2635*1.03</f>
        <v>0.27140500000000001</v>
      </c>
      <c r="AB13">
        <f>15370/139</f>
        <v>110.57553956834532</v>
      </c>
      <c r="AD13" t="s">
        <v>440</v>
      </c>
    </row>
    <row r="14" spans="1:30">
      <c r="A14" s="91" t="s">
        <v>6</v>
      </c>
      <c r="B14" s="92">
        <v>37000</v>
      </c>
      <c r="D14" s="131" t="s">
        <v>85</v>
      </c>
    </row>
    <row r="15" spans="1:30" ht="15" thickBot="1">
      <c r="A15" s="91" t="s">
        <v>402</v>
      </c>
      <c r="B15" s="256">
        <v>0.8</v>
      </c>
      <c r="D15" s="89" t="s">
        <v>399</v>
      </c>
      <c r="E15" s="255">
        <v>0</v>
      </c>
      <c r="O15" s="10" t="s">
        <v>163</v>
      </c>
    </row>
    <row r="16" spans="1:30" ht="15" customHeight="1">
      <c r="A16" s="94" t="s">
        <v>20</v>
      </c>
      <c r="B16" s="95">
        <v>0.96</v>
      </c>
      <c r="D16" s="91" t="s">
        <v>406</v>
      </c>
      <c r="E16" s="256">
        <v>1</v>
      </c>
      <c r="O16" s="106" t="s">
        <v>164</v>
      </c>
      <c r="P16" s="117">
        <f>MTOM*9.81/W_S</f>
        <v>96.779296426731079</v>
      </c>
    </row>
    <row r="17" spans="1:23">
      <c r="A17" s="131" t="s">
        <v>415</v>
      </c>
      <c r="D17" s="91" t="s">
        <v>100</v>
      </c>
      <c r="E17" s="97">
        <v>1</v>
      </c>
      <c r="O17" s="112" t="s">
        <v>118</v>
      </c>
      <c r="P17" s="110">
        <f>SQRT(Sref*AR)</f>
        <v>29.839060426325858</v>
      </c>
    </row>
    <row r="18" spans="1:23" ht="15" thickBot="1">
      <c r="A18" s="89" t="s">
        <v>157</v>
      </c>
      <c r="B18" s="90">
        <f>Mach+0.04</f>
        <v>0.82000000000000006</v>
      </c>
      <c r="D18" s="94" t="s">
        <v>17</v>
      </c>
      <c r="E18" s="100">
        <v>0.23499999999999999</v>
      </c>
      <c r="O18" s="108" t="s">
        <v>117</v>
      </c>
      <c r="P18" s="111">
        <f>T_W*MTOM*9.81/1000</f>
        <v>131.33192473348475</v>
      </c>
    </row>
    <row r="19" spans="1:23">
      <c r="A19" s="91" t="s">
        <v>6</v>
      </c>
      <c r="B19" s="92">
        <v>35000</v>
      </c>
      <c r="D19" s="131" t="s">
        <v>10</v>
      </c>
    </row>
    <row r="20" spans="1:23">
      <c r="A20" s="91" t="s">
        <v>402</v>
      </c>
      <c r="B20" s="256">
        <v>0.8</v>
      </c>
      <c r="D20" s="89" t="s">
        <v>9</v>
      </c>
      <c r="E20" s="99">
        <v>1.2</v>
      </c>
    </row>
    <row r="21" spans="1:23">
      <c r="A21" s="94" t="s">
        <v>20</v>
      </c>
      <c r="B21" s="95">
        <v>0.96499999999999997</v>
      </c>
      <c r="D21" s="91" t="s">
        <v>405</v>
      </c>
      <c r="E21" s="256">
        <v>0.8</v>
      </c>
      <c r="O21" s="10"/>
    </row>
    <row r="22" spans="1:23">
      <c r="A22" s="131" t="s">
        <v>416</v>
      </c>
      <c r="D22" s="91" t="s">
        <v>404</v>
      </c>
      <c r="E22" s="259">
        <v>1</v>
      </c>
      <c r="O22" s="7"/>
    </row>
    <row r="23" spans="1:23">
      <c r="A23" s="115" t="s">
        <v>99</v>
      </c>
      <c r="B23" s="116">
        <v>1.5</v>
      </c>
      <c r="D23" s="94" t="s">
        <v>166</v>
      </c>
      <c r="E23" s="260">
        <v>2.4E-2</v>
      </c>
      <c r="O23" s="84"/>
      <c r="P23" s="287"/>
      <c r="Q23" s="79"/>
    </row>
    <row r="24" spans="1:23">
      <c r="A24" s="131" t="s">
        <v>414</v>
      </c>
    </row>
    <row r="25" spans="1:23">
      <c r="A25" s="89" t="s">
        <v>156</v>
      </c>
      <c r="B25" s="96">
        <v>250</v>
      </c>
      <c r="D25" s="261" t="s">
        <v>86</v>
      </c>
      <c r="S25" s="88"/>
      <c r="T25" s="88"/>
      <c r="W25" s="297"/>
    </row>
    <row r="26" spans="1:23">
      <c r="A26" s="91" t="s">
        <v>6</v>
      </c>
      <c r="B26" s="92">
        <v>1500</v>
      </c>
      <c r="D26" s="89" t="s">
        <v>400</v>
      </c>
      <c r="E26" s="255">
        <v>0</v>
      </c>
      <c r="G26" s="126" t="s">
        <v>183</v>
      </c>
      <c r="T26" s="164"/>
      <c r="W26" s="297"/>
    </row>
    <row r="27" spans="1:23">
      <c r="A27" s="91" t="s">
        <v>402</v>
      </c>
      <c r="B27" s="256">
        <v>0.5</v>
      </c>
      <c r="D27" s="91" t="s">
        <v>19</v>
      </c>
      <c r="E27" s="102">
        <f>(1+(Range_nm/10000))/(1+(Range_nm/5000))</f>
        <v>0.87037037037037035</v>
      </c>
      <c r="W27" s="88"/>
    </row>
    <row r="28" spans="1:23">
      <c r="A28" s="91" t="s">
        <v>4</v>
      </c>
      <c r="B28" s="257">
        <f>1.01*MLW_MTOW</f>
        <v>0.87907407407407401</v>
      </c>
      <c r="D28" s="91" t="s">
        <v>15</v>
      </c>
      <c r="E28" s="97">
        <v>400</v>
      </c>
      <c r="W28" s="297"/>
    </row>
    <row r="29" spans="1:23">
      <c r="A29" s="94" t="s">
        <v>167</v>
      </c>
      <c r="B29" s="258">
        <v>3</v>
      </c>
      <c r="D29" s="94" t="s">
        <v>16</v>
      </c>
      <c r="E29" s="105">
        <v>0.63</v>
      </c>
      <c r="W29" s="88"/>
    </row>
    <row r="30" spans="1:23">
      <c r="W30" s="88"/>
    </row>
    <row r="31" spans="1:23">
      <c r="W31" s="88"/>
    </row>
  </sheetData>
  <customSheetViews>
    <customSheetView guid="{3FE7FC3F-F0F3-4173-9808-B52B3E7F8E83}">
      <selection activeCell="P21" sqref="P21"/>
      <pageMargins left="0.7" right="0.7" top="0.75" bottom="0.75" header="0.3" footer="0.3"/>
    </customSheetView>
  </customSheetViews>
  <mergeCells count="1">
    <mergeCell ref="Y11:AA12"/>
  </mergeCells>
  <dataValidations count="1">
    <dataValidation type="list" allowBlank="1" showInputMessage="1" showErrorMessage="1" sqref="O22" xr:uid="{00000000-0002-0000-0600-000000000000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W53"/>
  <sheetViews>
    <sheetView zoomScale="80" zoomScaleNormal="80" workbookViewId="0">
      <pane xSplit="4" ySplit="2" topLeftCell="E3" activePane="bottomRight" state="frozen"/>
      <selection pane="topRight" activeCell="B1" sqref="B1"/>
      <selection pane="bottomLeft" activeCell="A3" sqref="A3"/>
      <selection pane="bottomRight" activeCell="B34" sqref="B34"/>
    </sheetView>
  </sheetViews>
  <sheetFormatPr defaultRowHeight="14.4"/>
  <cols>
    <col min="1" max="1" width="24.109375" bestFit="1" customWidth="1"/>
    <col min="2" max="2" width="12.88671875" bestFit="1" customWidth="1"/>
    <col min="3" max="3" width="4" customWidth="1"/>
    <col min="4" max="7" width="8.6640625" customWidth="1"/>
    <col min="8" max="10" width="8.6640625" style="55" customWidth="1"/>
    <col min="11" max="19" width="8.6640625" customWidth="1"/>
    <col min="20" max="20" width="9.44140625" customWidth="1"/>
    <col min="21" max="23" width="8.6640625" customWidth="1"/>
  </cols>
  <sheetData>
    <row r="1" spans="1:23">
      <c r="A1" s="279"/>
      <c r="E1" s="340">
        <f>Mach</f>
        <v>0.78</v>
      </c>
      <c r="F1" s="340"/>
      <c r="G1" s="340"/>
      <c r="H1" s="344">
        <f>Mmo</f>
        <v>0.82000000000000006</v>
      </c>
      <c r="I1" s="344"/>
      <c r="J1" s="344"/>
      <c r="K1" s="341">
        <f>Alt3_ft</f>
        <v>1500</v>
      </c>
      <c r="L1" s="341"/>
      <c r="M1" s="341"/>
      <c r="N1" s="342" t="s">
        <v>10</v>
      </c>
      <c r="O1" s="342"/>
      <c r="P1" s="342"/>
      <c r="Q1" s="343" t="s">
        <v>11</v>
      </c>
      <c r="R1" s="343"/>
      <c r="S1" s="343"/>
      <c r="U1" s="338" t="s">
        <v>86</v>
      </c>
      <c r="V1" s="338"/>
      <c r="W1" s="338"/>
    </row>
    <row r="2" spans="1:23" s="65" customFormat="1" ht="30" customHeight="1">
      <c r="A2"/>
      <c r="B2" s="113" t="s">
        <v>185</v>
      </c>
      <c r="C2"/>
      <c r="D2" s="119" t="s">
        <v>169</v>
      </c>
      <c r="E2" s="339" t="s">
        <v>162</v>
      </c>
      <c r="F2" s="339"/>
      <c r="G2" s="66" t="s">
        <v>81</v>
      </c>
      <c r="H2" s="339" t="s">
        <v>162</v>
      </c>
      <c r="I2" s="339"/>
      <c r="J2" s="74" t="s">
        <v>81</v>
      </c>
      <c r="K2" s="339" t="s">
        <v>162</v>
      </c>
      <c r="L2" s="339"/>
      <c r="M2" s="67" t="s">
        <v>81</v>
      </c>
      <c r="N2" s="339" t="s">
        <v>162</v>
      </c>
      <c r="O2" s="339"/>
      <c r="P2" s="68" t="s">
        <v>81</v>
      </c>
      <c r="Q2" s="339" t="s">
        <v>162</v>
      </c>
      <c r="R2" s="339"/>
      <c r="S2" s="69" t="s">
        <v>81</v>
      </c>
      <c r="U2" s="118" t="s">
        <v>162</v>
      </c>
      <c r="V2" s="114" t="s">
        <v>420</v>
      </c>
      <c r="W2" s="114" t="s">
        <v>81</v>
      </c>
    </row>
    <row r="3" spans="1:23" ht="15" customHeight="1">
      <c r="A3" s="10" t="s">
        <v>112</v>
      </c>
      <c r="B3" s="80"/>
      <c r="D3" s="297">
        <v>4000</v>
      </c>
      <c r="E3" s="317">
        <f>(CD0*q_1*(Working!D3*Wcr1_MTOW)^-1+K/q_1*(Working!D3*Wcr1_MTOW))</f>
        <v>5.7884437177315631E-2</v>
      </c>
      <c r="F3" s="11">
        <f>RRC/B10</f>
        <v>6.5103396521476679E-3</v>
      </c>
      <c r="G3" s="3">
        <f t="shared" ref="G3:G15" si="0">(E3+F3)*Wcr1_MTOW/Tcr1_Tsls</f>
        <v>0.27174883229385777</v>
      </c>
      <c r="H3" s="9">
        <f>(CD0*q_2*(Working!D3*Wcr2_MTOW)^-1+K/q_2*(Working!D3*Wcr2_MTOW))</f>
        <v>6.3263703355567635E-2</v>
      </c>
      <c r="I3" s="11">
        <f>RRC/Working!B16</f>
        <v>6.1621482942392433E-3</v>
      </c>
      <c r="J3" s="75">
        <f t="shared" ref="J3:J15" si="1">(H3+I3)*Wcr2_MTOW/Tcr2_Tsls</f>
        <v>0.27024697585205243</v>
      </c>
      <c r="K3" s="317">
        <f>(CD0*q_3*(Working!D3*Whold_MTOW)^-1+K*n_turn^2/q_3*(Working!D3*Whold_MTOW))</f>
        <v>6.8755154635592342E-2</v>
      </c>
      <c r="L3" s="11"/>
      <c r="M3" s="4">
        <f t="shared" ref="M3:M15" si="2">K3*Whold_MTOW/Thold_Tsls</f>
        <v>0.12633438116319856</v>
      </c>
      <c r="N3" s="9">
        <f>Theta_climb+D_L_Climb</f>
        <v>0.10474411669779804</v>
      </c>
      <c r="O3" s="11"/>
      <c r="P3">
        <f>N3*TOW_MTOW/Tclimb_Tsls</f>
        <v>0.2618602917444951</v>
      </c>
      <c r="Q3" s="9">
        <f>C_FL*Working!D3</f>
        <v>940</v>
      </c>
      <c r="R3" s="317">
        <f>S_TOFL*sig_TO*CLmax_TO</f>
        <v>5534.9999999999991</v>
      </c>
      <c r="S3" s="8">
        <f t="shared" ref="S3:S15" si="3">(Q3/R3)*TOW_MTOW/Tto_Tsls</f>
        <v>0.1698283649503162</v>
      </c>
      <c r="U3" s="14">
        <f t="shared" ref="U3:U9" si="4">(S_LFL-A_FL)*sig_Land*CLmax_Land/B_FL</f>
        <v>6222.2222222222217</v>
      </c>
      <c r="V3" s="14">
        <f t="shared" ref="V3:V9" si="5">U3/MLW_MTOW</f>
        <v>7148.9361702127653</v>
      </c>
      <c r="W3" s="6">
        <v>0</v>
      </c>
    </row>
    <row r="4" spans="1:23" ht="15" customHeight="1">
      <c r="B4" s="281"/>
      <c r="D4" s="297">
        <v>4500</v>
      </c>
      <c r="E4" s="317">
        <f>(CD0*q_1*(Working!D4*Wcr1_MTOW)^-1+K/q_1*(Working!D4*Wcr1_MTOW))</f>
        <v>5.5626036338803288E-2</v>
      </c>
      <c r="F4" s="11">
        <f>RRC/B10</f>
        <v>6.5103396521476679E-3</v>
      </c>
      <c r="G4" s="3">
        <f t="shared" si="0"/>
        <v>0.26221827995818447</v>
      </c>
      <c r="H4" s="9">
        <f>(CD0*q_2*(Working!D4*Wcr2_MTOW)^-1+K/q_2*(Working!D4*Wcr2_MTOW))</f>
        <v>5.9683052990106913E-2</v>
      </c>
      <c r="I4" s="11">
        <f>RRC/Working!B16</f>
        <v>6.1621482942392433E-3</v>
      </c>
      <c r="J4" s="75">
        <f t="shared" si="1"/>
        <v>0.25630894110196661</v>
      </c>
      <c r="K4" s="317">
        <f>(CD0*q_3*(Working!D4*Whold_MTOW)^-1+K*n_turn^2/q_3*(Working!D4*Whold_MTOW))</f>
        <v>6.6479063757454271E-2</v>
      </c>
      <c r="L4" s="11"/>
      <c r="M4" s="4">
        <f t="shared" si="2"/>
        <v>0.12215217062080642</v>
      </c>
      <c r="N4" s="9">
        <f t="shared" ref="N4:N15" si="6">Theta_climb+D_L_Climb</f>
        <v>0.10474411669779804</v>
      </c>
      <c r="O4" s="11"/>
      <c r="P4">
        <f t="shared" ref="P4:P15" si="7">N4*TOW_MTOW/Tclimb_Tsls</f>
        <v>0.2618602917444951</v>
      </c>
      <c r="Q4" s="9">
        <f>C_FL*Working!D4</f>
        <v>1057.5</v>
      </c>
      <c r="R4" s="317">
        <f t="shared" ref="R4:R15" si="8">S_TOFL*sig_TO*CLmax_TO</f>
        <v>5534.9999999999991</v>
      </c>
      <c r="S4" s="8">
        <f t="shared" si="3"/>
        <v>0.19105691056910573</v>
      </c>
      <c r="U4" s="14">
        <f t="shared" si="4"/>
        <v>6222.2222222222217</v>
      </c>
      <c r="V4" s="14">
        <f t="shared" si="5"/>
        <v>7148.9361702127653</v>
      </c>
      <c r="W4" s="6">
        <v>0.1</v>
      </c>
    </row>
    <row r="5" spans="1:23" ht="15" customHeight="1">
      <c r="A5" s="10" t="s">
        <v>411</v>
      </c>
      <c r="B5" s="70"/>
      <c r="D5" s="297">
        <v>5000</v>
      </c>
      <c r="E5" s="317">
        <f>(CD0*q_1*(Working!D5*Wcr1_MTOW)^-1+K/q_1*(Working!D5*Wcr1_MTOW))</f>
        <v>5.4261184251884059E-2</v>
      </c>
      <c r="F5" s="11">
        <f>RRC/B10</f>
        <v>6.5103396521476679E-3</v>
      </c>
      <c r="G5" s="3">
        <f t="shared" si="0"/>
        <v>0.25645854323518319</v>
      </c>
      <c r="H5" s="9">
        <f>(CD0*q_2*(Working!D5*Wcr2_MTOW)^-1+K/q_2*(Working!D5*Wcr2_MTOW))</f>
        <v>5.718368387499035E-2</v>
      </c>
      <c r="I5" s="11">
        <f>RRC/Working!B16</f>
        <v>6.1621482942392433E-3</v>
      </c>
      <c r="J5" s="75">
        <f t="shared" si="1"/>
        <v>0.24657990027859561</v>
      </c>
      <c r="K5" s="317">
        <f>(CD0*q_3*(Working!D5*Whold_MTOW)^-1+K*n_turn^2/q_3*(Working!D5*Whold_MTOW))</f>
        <v>6.5226077369442054E-2</v>
      </c>
      <c r="L5" s="11"/>
      <c r="M5" s="4">
        <f t="shared" si="2"/>
        <v>0.11984986673138298</v>
      </c>
      <c r="N5" s="9">
        <f t="shared" si="6"/>
        <v>0.10474411669779804</v>
      </c>
      <c r="O5" s="11"/>
      <c r="P5">
        <f t="shared" si="7"/>
        <v>0.2618602917444951</v>
      </c>
      <c r="Q5" s="9">
        <f>C_FL*Working!D5</f>
        <v>1175</v>
      </c>
      <c r="R5" s="317">
        <f t="shared" si="8"/>
        <v>5534.9999999999991</v>
      </c>
      <c r="S5" s="8">
        <f t="shared" si="3"/>
        <v>0.21228545618789524</v>
      </c>
      <c r="U5" s="14">
        <f t="shared" si="4"/>
        <v>6222.2222222222217</v>
      </c>
      <c r="V5" s="14">
        <f t="shared" si="5"/>
        <v>7148.9361702127653</v>
      </c>
      <c r="W5" s="6">
        <v>0.2</v>
      </c>
    </row>
    <row r="6" spans="1:23" ht="15" customHeight="1">
      <c r="A6" s="7" t="s">
        <v>408</v>
      </c>
      <c r="B6" s="282">
        <f>k_cr/(PI()*AR)</f>
        <v>4.2556647826745932E-2</v>
      </c>
      <c r="D6" s="297">
        <v>5500</v>
      </c>
      <c r="E6" s="317">
        <f>(CD0*q_1*(Working!D6*Wcr1_MTOW)^-1+K/q_1*(Working!D6*Wcr1_MTOW))</f>
        <v>5.354618580248708E-2</v>
      </c>
      <c r="F6" s="11">
        <f>RRC/B10</f>
        <v>6.5103396521476679E-3</v>
      </c>
      <c r="G6" s="3">
        <f t="shared" si="0"/>
        <v>0.2534412178668522</v>
      </c>
      <c r="H6" s="9">
        <f>(CD0*q_2*(Working!D6*Wcr2_MTOW)^-1+K/q_2*(Working!D6*Wcr2_MTOW))</f>
        <v>5.5470701123760444E-2</v>
      </c>
      <c r="I6" s="11">
        <f>RRC/Working!B16</f>
        <v>6.1621482942392433E-3</v>
      </c>
      <c r="J6" s="75">
        <f t="shared" si="1"/>
        <v>0.23991194594738074</v>
      </c>
      <c r="K6" s="317">
        <f>(CD0*q_3*(Working!D6*Whold_MTOW)^-1+K*n_turn^2/q_3*(Working!D6*Whold_MTOW))</f>
        <v>6.4717166974248619E-2</v>
      </c>
      <c r="L6" s="11"/>
      <c r="M6" s="4">
        <f t="shared" si="2"/>
        <v>0.11891476768048218</v>
      </c>
      <c r="N6" s="9">
        <f t="shared" si="6"/>
        <v>0.10474411669779804</v>
      </c>
      <c r="O6" s="11"/>
      <c r="P6">
        <f t="shared" si="7"/>
        <v>0.2618602917444951</v>
      </c>
      <c r="Q6" s="9">
        <f>C_FL*Working!D6</f>
        <v>1292.5</v>
      </c>
      <c r="R6" s="317">
        <f t="shared" si="8"/>
        <v>5534.9999999999991</v>
      </c>
      <c r="S6" s="8">
        <f t="shared" si="3"/>
        <v>0.23351400180668477</v>
      </c>
      <c r="U6" s="14">
        <f t="shared" si="4"/>
        <v>6222.2222222222217</v>
      </c>
      <c r="V6" s="14">
        <f t="shared" si="5"/>
        <v>7148.9361702127653</v>
      </c>
      <c r="W6" s="6">
        <v>0.3</v>
      </c>
    </row>
    <row r="7" spans="1:23" ht="15" customHeight="1">
      <c r="A7" t="s">
        <v>409</v>
      </c>
      <c r="B7" s="70"/>
      <c r="D7" s="297">
        <v>6000</v>
      </c>
      <c r="E7" s="317">
        <f>(CD0*q_1*(Working!D7*Wcr1_MTOW)^-1+K/q_1*(Working!D7*Wcr1_MTOW))</f>
        <v>5.3318577581231805E-2</v>
      </c>
      <c r="F7" s="11">
        <f>RRC/B10</f>
        <v>6.5103396521476679E-3</v>
      </c>
      <c r="G7" s="3">
        <f>(E7+F7)*Wcr1_MTOW/Tcr1_Tsls</f>
        <v>0.25248070101452419</v>
      </c>
      <c r="H7" s="9">
        <f>(CD0*q_2*(Working!D7*Wcr2_MTOW)^-1+K/q_2*(Working!D7*Wcr2_MTOW))</f>
        <v>5.434750814544554E-2</v>
      </c>
      <c r="I7" s="11">
        <f>RRC/Working!B16</f>
        <v>6.1621482942392433E-3</v>
      </c>
      <c r="J7" s="75">
        <f t="shared" si="1"/>
        <v>0.23553980648528303</v>
      </c>
      <c r="K7" s="317">
        <f>(CD0*q_3*(Working!D7*Whold_MTOW)^-1+K*n_turn^2/q_3*(Working!D7*Whold_MTOW))</f>
        <v>6.4766313573669285E-2</v>
      </c>
      <c r="L7" s="11"/>
      <c r="M7" s="4">
        <f t="shared" si="2"/>
        <v>0.11900507225847334</v>
      </c>
      <c r="N7" s="9">
        <f t="shared" si="6"/>
        <v>0.10474411669779804</v>
      </c>
      <c r="O7" s="11"/>
      <c r="P7">
        <f t="shared" si="7"/>
        <v>0.2618602917444951</v>
      </c>
      <c r="Q7" s="9">
        <f>C_FL*Working!D7</f>
        <v>1410</v>
      </c>
      <c r="R7" s="317">
        <f t="shared" si="8"/>
        <v>5534.9999999999991</v>
      </c>
      <c r="S7" s="8">
        <f t="shared" si="3"/>
        <v>0.25474254742547431</v>
      </c>
      <c r="U7" s="14">
        <f t="shared" si="4"/>
        <v>6222.2222222222217</v>
      </c>
      <c r="V7" s="14">
        <f t="shared" si="5"/>
        <v>7148.9361702127653</v>
      </c>
      <c r="W7" s="6">
        <v>0.4</v>
      </c>
    </row>
    <row r="8" spans="1:23" ht="15" customHeight="1">
      <c r="A8" s="15" t="s">
        <v>188</v>
      </c>
      <c r="B8" s="316">
        <f>VLOOKUP(Alt1_ft,ISA!B2:H163,4,FALSE)</f>
        <v>0.34833754809643258</v>
      </c>
      <c r="D8" s="297">
        <v>6500</v>
      </c>
      <c r="E8" s="317">
        <f>(CD0*q_1*(Working!D8*Wcr1_MTOW)^-1+K/q_1*(Working!D8*Wcr1_MTOW))</f>
        <v>5.3465884920085527E-2</v>
      </c>
      <c r="F8" s="11">
        <f>RRC/B10</f>
        <v>6.5103396521476679E-3</v>
      </c>
      <c r="G8" s="3">
        <f t="shared" si="0"/>
        <v>0.25310234455912139</v>
      </c>
      <c r="H8" s="9">
        <f>(CD0*q_2*(Working!D8*Wcr2_MTOW)^-1+K/q_2*(Working!D8*Wcr2_MTOW))</f>
        <v>5.3677999607834474E-2</v>
      </c>
      <c r="I8" s="11">
        <f>RRC/Working!B16</f>
        <v>6.1621482942392433E-3</v>
      </c>
      <c r="J8" s="75">
        <f t="shared" si="1"/>
        <v>0.23293367846096769</v>
      </c>
      <c r="K8" s="317">
        <f>(CD0*q_3*(Working!D8*Whold_MTOW)^-1+K*n_turn^2/q_3*(Working!D8*Whold_MTOW))</f>
        <v>6.5244734784331571E-2</v>
      </c>
      <c r="L8" s="11"/>
      <c r="M8" s="4">
        <f t="shared" si="2"/>
        <v>0.11988414885868914</v>
      </c>
      <c r="N8" s="9">
        <f t="shared" si="6"/>
        <v>0.10474411669779804</v>
      </c>
      <c r="O8" s="11"/>
      <c r="P8">
        <f t="shared" si="7"/>
        <v>0.2618602917444951</v>
      </c>
      <c r="Q8" s="9">
        <f>C_FL*Working!D8</f>
        <v>1527.5</v>
      </c>
      <c r="R8" s="317">
        <f t="shared" si="8"/>
        <v>5534.9999999999991</v>
      </c>
      <c r="S8" s="8">
        <f t="shared" si="3"/>
        <v>0.27597109304426382</v>
      </c>
      <c r="U8" s="14">
        <f t="shared" si="4"/>
        <v>6222.2222222222217</v>
      </c>
      <c r="V8" s="14">
        <f t="shared" si="5"/>
        <v>7148.9361702127653</v>
      </c>
      <c r="W8" s="6">
        <v>0.5</v>
      </c>
    </row>
    <row r="9" spans="1:23" ht="15" customHeight="1">
      <c r="A9" s="9" t="s">
        <v>189</v>
      </c>
      <c r="B9" s="281">
        <f>VLOOKUP(Alt1_ft,ISA!B2:H163,5,FALSE)</f>
        <v>295.38810965761633</v>
      </c>
      <c r="D9" s="297">
        <v>7000</v>
      </c>
      <c r="E9" s="317">
        <f>(CD0*q_1*(Working!D9*Wcr1_MTOW)^-1+K/q_1*(Working!D9*Wcr1_MTOW))</f>
        <v>5.390776877045346E-2</v>
      </c>
      <c r="F9" s="11">
        <f>RRC/B10</f>
        <v>6.5103396521476679E-3</v>
      </c>
      <c r="G9" s="3">
        <f t="shared" si="0"/>
        <v>0.25496711412987416</v>
      </c>
      <c r="H9" s="9">
        <f>(CD0*q_2*(Working!D9*Wcr2_MTOW)^-1+K/q_2*(Working!D9*Wcr2_MTOW))</f>
        <v>5.3364957416490708E-2</v>
      </c>
      <c r="I9" s="11">
        <f>RRC/Working!B16</f>
        <v>6.1621482942392433E-3</v>
      </c>
      <c r="J9" s="75">
        <f t="shared" si="1"/>
        <v>0.23171513085205281</v>
      </c>
      <c r="K9" s="317">
        <f>(CD0*q_3*(Working!D9*Whold_MTOW)^-1+K*n_turn^2/q_3*(Working!D9*Whold_MTOW))</f>
        <v>6.6060443189540838E-2</v>
      </c>
      <c r="L9" s="11"/>
      <c r="M9" s="4">
        <f t="shared" si="2"/>
        <v>0.12138297490493857</v>
      </c>
      <c r="N9" s="9">
        <f t="shared" si="6"/>
        <v>0.10474411669779804</v>
      </c>
      <c r="O9" s="11"/>
      <c r="P9">
        <f t="shared" si="7"/>
        <v>0.2618602917444951</v>
      </c>
      <c r="Q9" s="9">
        <f>C_FL*Working!D9</f>
        <v>1645</v>
      </c>
      <c r="R9" s="317">
        <f t="shared" si="8"/>
        <v>5534.9999999999991</v>
      </c>
      <c r="S9" s="8">
        <f t="shared" si="3"/>
        <v>0.29719963866305332</v>
      </c>
      <c r="U9" s="14">
        <f t="shared" si="4"/>
        <v>6222.2222222222217</v>
      </c>
      <c r="V9" s="14">
        <f t="shared" si="5"/>
        <v>7148.9361702127653</v>
      </c>
      <c r="W9" s="6">
        <v>0.6</v>
      </c>
    </row>
    <row r="10" spans="1:23" ht="15" customHeight="1">
      <c r="A10" s="9" t="s">
        <v>42</v>
      </c>
      <c r="B10" s="281">
        <f>Mach*Working!B9</f>
        <v>230.40272553294074</v>
      </c>
      <c r="D10" s="297">
        <v>7500</v>
      </c>
      <c r="E10" s="317">
        <f>(CD0*q_1*(Working!D10*Wcr1_MTOW)^-1+K/q_1*(Working!D10*Wcr1_MTOW))</f>
        <v>5.4585313830032761E-2</v>
      </c>
      <c r="F10" s="11">
        <f>RRC/B10</f>
        <v>6.5103396521476679E-3</v>
      </c>
      <c r="G10" s="3">
        <f t="shared" si="0"/>
        <v>0.25782638452155143</v>
      </c>
      <c r="H10" s="9">
        <f>(CD0*q_2*(Working!D10*Wcr2_MTOW)^-1+K/q_2*(Working!D10*Wcr2_MTOW))</f>
        <v>5.3337088302160801E-2</v>
      </c>
      <c r="I10" s="11">
        <f>RRC/Working!B16</f>
        <v>6.1621482942392433E-3</v>
      </c>
      <c r="J10" s="75">
        <f t="shared" si="1"/>
        <v>0.23160664757545832</v>
      </c>
      <c r="K10" s="317">
        <f>(CD0*q_3*(Working!D10*Whold_MTOW)^-1+K*n_turn^2/q_3*(Working!D10*Whold_MTOW))</f>
        <v>6.7145981350387685E-2</v>
      </c>
      <c r="L10" s="11"/>
      <c r="M10" s="4">
        <f t="shared" si="2"/>
        <v>0.12337760050801487</v>
      </c>
      <c r="N10" s="9">
        <f t="shared" si="6"/>
        <v>0.10474411669779804</v>
      </c>
      <c r="O10" s="11"/>
      <c r="P10">
        <f t="shared" si="7"/>
        <v>0.2618602917444951</v>
      </c>
      <c r="Q10" s="9">
        <f>C_FL*Working!D10</f>
        <v>1762.5</v>
      </c>
      <c r="R10" s="317">
        <f t="shared" si="8"/>
        <v>5534.9999999999991</v>
      </c>
      <c r="S10" s="8">
        <f t="shared" si="3"/>
        <v>0.31842818428184289</v>
      </c>
    </row>
    <row r="11" spans="1:23" ht="15" customHeight="1">
      <c r="A11" s="7" t="s">
        <v>190</v>
      </c>
      <c r="B11" s="284">
        <f>0.5*B8*B10^2</f>
        <v>9245.8218128915851</v>
      </c>
      <c r="D11" s="297">
        <v>8000</v>
      </c>
      <c r="E11" s="317">
        <f>(CD0*q_1*(Working!D11*Wcr1_MTOW)^-1+K/q_1*(Working!D11*Wcr1_MTOW))</f>
        <v>5.5454333622096313E-2</v>
      </c>
      <c r="F11" s="11">
        <f>RRC/B10</f>
        <v>6.5103396521476679E-3</v>
      </c>
      <c r="G11" s="3">
        <f t="shared" si="0"/>
        <v>0.26149368683022983</v>
      </c>
      <c r="H11" s="9">
        <f>(CD0*q_2*(Working!D11*Wcr2_MTOW)^-1+K/q_2*(Working!D11*Wcr2_MTOW))</f>
        <v>5.3540922312904624E-2</v>
      </c>
      <c r="I11" s="11">
        <f>RRC/Working!B16</f>
        <v>6.1621482942392433E-3</v>
      </c>
      <c r="J11" s="75">
        <f t="shared" si="1"/>
        <v>0.23240009156887409</v>
      </c>
      <c r="K11" s="317">
        <f>(CD0*q_3*(Working!D11*Whold_MTOW)^-1+K*n_turn^2/q_3*(Working!D11*Whold_MTOW))</f>
        <v>6.8450756187690073E-2</v>
      </c>
      <c r="L11" s="11"/>
      <c r="M11" s="4">
        <f t="shared" si="2"/>
        <v>0.12577506325101304</v>
      </c>
      <c r="N11" s="9">
        <f t="shared" si="6"/>
        <v>0.10474411669779804</v>
      </c>
      <c r="O11" s="11"/>
      <c r="P11">
        <f t="shared" si="7"/>
        <v>0.2618602917444951</v>
      </c>
      <c r="Q11" s="9">
        <f>C_FL*Working!D11</f>
        <v>1880</v>
      </c>
      <c r="R11" s="317">
        <f t="shared" si="8"/>
        <v>5534.9999999999991</v>
      </c>
      <c r="S11" s="8">
        <f t="shared" si="3"/>
        <v>0.33965672990063239</v>
      </c>
    </row>
    <row r="12" spans="1:23" ht="15" customHeight="1">
      <c r="A12" s="91" t="s">
        <v>1</v>
      </c>
      <c r="B12">
        <f>Thro_1*Working!B8/ISA!r0</f>
        <v>0.2274857456956294</v>
      </c>
      <c r="D12" s="297">
        <v>8500</v>
      </c>
      <c r="E12" s="317">
        <f>(CD0*q_1*(Working!D12*Wcr1_MTOW)^-1+K/q_1*(Working!D12*Wcr1_MTOW))</f>
        <v>5.6481038487970397E-2</v>
      </c>
      <c r="F12" s="11">
        <f>RRC/B10</f>
        <v>6.5103396521476679E-3</v>
      </c>
      <c r="G12" s="3">
        <f t="shared" si="0"/>
        <v>0.26582642718820321</v>
      </c>
      <c r="H12" s="9">
        <f>(CD0*q_2*(Working!D12*Wcr2_MTOW)^-1+K/q_2*(Working!D12*Wcr2_MTOW))</f>
        <v>5.3935570661944487E-2</v>
      </c>
      <c r="I12" s="11">
        <f>RRC/Working!B16</f>
        <v>6.1621482942392433E-3</v>
      </c>
      <c r="J12" s="75">
        <f t="shared" si="1"/>
        <v>0.23393629919641604</v>
      </c>
      <c r="K12" s="317">
        <f>(CD0*q_3*(Working!D12*Whold_MTOW)^-1+K*n_turn^2/q_3*(Working!D12*Whold_MTOW))</f>
        <v>6.9936078876191146E-2</v>
      </c>
      <c r="L12" s="11"/>
      <c r="M12" s="4">
        <f t="shared" si="2"/>
        <v>0.12850427422688804</v>
      </c>
      <c r="N12" s="9">
        <f t="shared" si="6"/>
        <v>0.10474411669779804</v>
      </c>
      <c r="O12" s="11"/>
      <c r="P12">
        <f t="shared" si="7"/>
        <v>0.2618602917444951</v>
      </c>
      <c r="Q12" s="9">
        <f>C_FL*Working!D12</f>
        <v>1997.5</v>
      </c>
      <c r="R12" s="317">
        <f t="shared" si="8"/>
        <v>5534.9999999999991</v>
      </c>
      <c r="S12" s="8">
        <f t="shared" si="3"/>
        <v>0.3608852755194219</v>
      </c>
    </row>
    <row r="13" spans="1:23" ht="15" customHeight="1">
      <c r="A13" t="s">
        <v>410</v>
      </c>
      <c r="B13" s="70"/>
      <c r="D13" s="297">
        <v>9000</v>
      </c>
      <c r="E13" s="317">
        <f>(CD0*q_1*(Working!D13*Wcr1_MTOW)^-1+K/q_1*(Working!D13*Wcr1_MTOW))</f>
        <v>5.7639147582019948E-2</v>
      </c>
      <c r="F13" s="11">
        <f>RRC/B10</f>
        <v>6.5103396521476679E-3</v>
      </c>
      <c r="G13" s="3">
        <f t="shared" si="0"/>
        <v>0.27071369925392247</v>
      </c>
      <c r="H13" s="9">
        <f>(CD0*q_2*(Working!D13*Wcr2_MTOW)^-1+K/q_2*(Working!D13*Wcr2_MTOW))</f>
        <v>5.4489230959564372E-2</v>
      </c>
      <c r="I13" s="11">
        <f>RRC/Working!B16</f>
        <v>6.1621482942392433E-3</v>
      </c>
      <c r="J13" s="75">
        <f t="shared" si="1"/>
        <v>0.23609147651906306</v>
      </c>
      <c r="K13" s="317">
        <f>(CD0*q_3*(Working!D13*Whold_MTOW)^-1+K*n_turn^2/q_3*(Working!D13*Whold_MTOW))</f>
        <v>7.1571858107357778E-2</v>
      </c>
      <c r="L13" s="11"/>
      <c r="M13" s="4">
        <f t="shared" si="2"/>
        <v>0.13150994206349373</v>
      </c>
      <c r="N13" s="9">
        <f t="shared" si="6"/>
        <v>0.10474411669779804</v>
      </c>
      <c r="O13" s="11"/>
      <c r="P13">
        <f t="shared" si="7"/>
        <v>0.2618602917444951</v>
      </c>
      <c r="Q13" s="9">
        <f>C_FL*Working!D13</f>
        <v>2115</v>
      </c>
      <c r="R13" s="317">
        <f t="shared" si="8"/>
        <v>5534.9999999999991</v>
      </c>
      <c r="S13" s="8">
        <f t="shared" si="3"/>
        <v>0.38211382113821146</v>
      </c>
    </row>
    <row r="14" spans="1:23" ht="15" customHeight="1">
      <c r="A14" s="15" t="s">
        <v>188</v>
      </c>
      <c r="B14" s="283">
        <f>VLOOKUP(Alt2_ft,ISA!B2:H163,4,FALSE)</f>
        <v>0.37960662937472367</v>
      </c>
      <c r="D14" s="297">
        <v>9500</v>
      </c>
      <c r="E14" s="317">
        <f>(CD0*q_1*(Working!D14*Wcr1_MTOW)^-1+K/q_1*(Working!D14*Wcr1_MTOW))</f>
        <v>5.8907912868217248E-2</v>
      </c>
      <c r="F14" s="11">
        <f>RRC/B10</f>
        <v>6.5103396521476679E-3</v>
      </c>
      <c r="G14" s="3">
        <f t="shared" si="0"/>
        <v>0.27606794538932244</v>
      </c>
      <c r="H14" s="9">
        <f>(CD0*q_2*(Working!D14*Wcr2_MTOW)^-1+K/q_2*(Working!D14*Wcr2_MTOW))</f>
        <v>5.5176796055988485E-2</v>
      </c>
      <c r="I14" s="11">
        <f>RRC/Working!B16</f>
        <v>6.1621482942392433E-3</v>
      </c>
      <c r="J14" s="75">
        <f t="shared" si="1"/>
        <v>0.23876789147969332</v>
      </c>
      <c r="K14" s="317">
        <f>(CD0*q_3*(Working!D14*Whold_MTOW)^-1+K*n_turn^2/q_3*(Working!D14*Whold_MTOW))</f>
        <v>7.333433758497962E-2</v>
      </c>
      <c r="L14" s="11"/>
      <c r="M14" s="4">
        <f t="shared" si="2"/>
        <v>0.1347484156775568</v>
      </c>
      <c r="N14" s="9">
        <f t="shared" si="6"/>
        <v>0.10474411669779804</v>
      </c>
      <c r="O14" s="11"/>
      <c r="P14">
        <f t="shared" si="7"/>
        <v>0.2618602917444951</v>
      </c>
      <c r="Q14" s="9">
        <f>C_FL*Working!D14</f>
        <v>2232.5</v>
      </c>
      <c r="R14" s="317">
        <f t="shared" si="8"/>
        <v>5534.9999999999991</v>
      </c>
      <c r="S14" s="8">
        <f t="shared" si="3"/>
        <v>0.40334236675700097</v>
      </c>
    </row>
    <row r="15" spans="1:23" ht="15" customHeight="1">
      <c r="A15" s="9" t="s">
        <v>189</v>
      </c>
      <c r="B15" s="281">
        <f>VLOOKUP(Alt2_ft,ISA!B2:H163,5,FALSE)</f>
        <v>296.85561030607454</v>
      </c>
      <c r="D15" s="297">
        <v>10000</v>
      </c>
      <c r="E15" s="317">
        <f>(CD0*q_1*(Working!D15*Wcr1_MTOW)^-1+K/q_1*(Working!D15*Wcr1_MTOW))</f>
        <v>6.0270735917740147E-2</v>
      </c>
      <c r="F15" s="11">
        <f>RRC/B10</f>
        <v>6.5103396521476679E-3</v>
      </c>
      <c r="G15" s="3">
        <f t="shared" si="0"/>
        <v>0.28181911948395111</v>
      </c>
      <c r="H15" s="9">
        <f>(CD0*q_2*(Working!D15*Wcr2_MTOW)^-1+K/q_2*(Working!D15*Wcr2_MTOW))</f>
        <v>5.5978180231396196E-2</v>
      </c>
      <c r="I15" s="11">
        <f>RRC/Working!B16</f>
        <v>6.1621482942392433E-3</v>
      </c>
      <c r="J15" s="75">
        <f t="shared" si="1"/>
        <v>0.24188735843260939</v>
      </c>
      <c r="K15" s="317">
        <f>(CD0*q_3*(Working!D15*Whold_MTOW)^-1+K*n_turn^2/q_3*(Working!D15*Whold_MTOW))</f>
        <v>7.5204512272088408E-2</v>
      </c>
      <c r="L15" s="11"/>
      <c r="M15" s="4">
        <f t="shared" si="2"/>
        <v>0.13818477420245873</v>
      </c>
      <c r="N15" s="9">
        <f t="shared" si="6"/>
        <v>0.10474411669779804</v>
      </c>
      <c r="O15" s="11"/>
      <c r="P15">
        <f t="shared" si="7"/>
        <v>0.2618602917444951</v>
      </c>
      <c r="Q15" s="9">
        <f>C_FL*Working!D15</f>
        <v>2350</v>
      </c>
      <c r="R15" s="317">
        <f t="shared" si="8"/>
        <v>5534.9999999999991</v>
      </c>
      <c r="S15" s="8">
        <f t="shared" si="3"/>
        <v>0.42457091237579048</v>
      </c>
    </row>
    <row r="16" spans="1:23" ht="15" customHeight="1">
      <c r="A16" s="9" t="s">
        <v>42</v>
      </c>
      <c r="B16" s="281">
        <f>Mmo*Working!B15</f>
        <v>243.42160045098115</v>
      </c>
      <c r="N16" s="9"/>
      <c r="P16" s="5"/>
    </row>
    <row r="17" spans="1:21" ht="15" customHeight="1">
      <c r="A17" s="7" t="s">
        <v>191</v>
      </c>
      <c r="B17" s="284">
        <f>0.5*B14*B16^2</f>
        <v>11246.619951184442</v>
      </c>
      <c r="E17" s="127" t="s">
        <v>186</v>
      </c>
    </row>
    <row r="18" spans="1:21" ht="15" customHeight="1">
      <c r="A18" s="91" t="s">
        <v>1</v>
      </c>
      <c r="B18" s="285">
        <f>Thro_2*Working!B14/ISA!r0</f>
        <v>0.24790637020390116</v>
      </c>
      <c r="E18" s="2"/>
    </row>
    <row r="19" spans="1:21" ht="15" customHeight="1">
      <c r="A19" s="6" t="s">
        <v>165</v>
      </c>
      <c r="B19" s="81"/>
      <c r="E19" s="126" t="s">
        <v>184</v>
      </c>
      <c r="U19" t="s">
        <v>426</v>
      </c>
    </row>
    <row r="20" spans="1:21" ht="15" customHeight="1">
      <c r="A20" s="15" t="s">
        <v>188</v>
      </c>
      <c r="B20" s="283">
        <f>VLOOKUP(Alt3_ft,ISA!B2:H163,4,FALSE)</f>
        <v>1.1721285978479046</v>
      </c>
      <c r="E20" s="2"/>
    </row>
    <row r="21" spans="1:21" ht="15" customHeight="1">
      <c r="A21" s="9" t="s">
        <v>42</v>
      </c>
      <c r="B21" s="281">
        <f>Hold_TAS_kt*0.514444</f>
        <v>128.61099999999999</v>
      </c>
      <c r="E21" s="126" t="s">
        <v>193</v>
      </c>
    </row>
    <row r="22" spans="1:21" ht="15" customHeight="1">
      <c r="A22" s="7" t="s">
        <v>192</v>
      </c>
      <c r="B22" s="284">
        <f>0.5*B20*B21^2</f>
        <v>9693.9660970606601</v>
      </c>
      <c r="E22" s="2"/>
    </row>
    <row r="23" spans="1:21" ht="15" customHeight="1">
      <c r="A23" s="91" t="s">
        <v>1</v>
      </c>
      <c r="B23" s="285">
        <f>Thro_3*Working!B20/ISA!r0</f>
        <v>0.47841983585628756</v>
      </c>
      <c r="E23" s="126" t="s">
        <v>187</v>
      </c>
    </row>
    <row r="24" spans="1:21" ht="15" customHeight="1">
      <c r="A24" s="7" t="s">
        <v>168</v>
      </c>
      <c r="B24" s="285">
        <f>SQRT((TRhold*PI()/180*Working!B21/g)^2+1)</f>
        <v>1.2130676132243321</v>
      </c>
    </row>
    <row r="25" spans="1:21" ht="15" customHeight="1">
      <c r="B25" s="70"/>
    </row>
    <row r="26" spans="1:21" ht="15" customHeight="1">
      <c r="A26" s="10" t="s">
        <v>407</v>
      </c>
      <c r="B26" s="70"/>
    </row>
    <row r="27" spans="1:21" ht="15" customHeight="1">
      <c r="A27" t="s">
        <v>403</v>
      </c>
      <c r="B27" s="70"/>
    </row>
    <row r="28" spans="1:21" ht="15" customHeight="1">
      <c r="A28" s="91" t="s">
        <v>82</v>
      </c>
      <c r="B28" s="285">
        <f>VLOOKUP(AltTO_ft,ISA!B2:H163,4,FALSE)/ISA!r0</f>
        <v>1</v>
      </c>
    </row>
    <row r="29" spans="1:21" ht="15" customHeight="1">
      <c r="A29" s="91" t="s">
        <v>14</v>
      </c>
      <c r="B29" s="285">
        <f>Thro_TO*sig_TO</f>
        <v>1</v>
      </c>
    </row>
    <row r="30" spans="1:21" ht="15" customHeight="1">
      <c r="A30" s="7" t="s">
        <v>114</v>
      </c>
      <c r="B30" s="282">
        <f>'Inputs &amp; Sizing Chart'!E9+CD0</f>
        <v>2.87E-2</v>
      </c>
    </row>
    <row r="31" spans="1:21" ht="15" customHeight="1">
      <c r="A31" t="s">
        <v>10</v>
      </c>
      <c r="B31" s="70"/>
    </row>
    <row r="32" spans="1:21" ht="15" customHeight="1">
      <c r="A32" s="91" t="s">
        <v>7</v>
      </c>
      <c r="B32" s="285">
        <f>Thro_climb*N_eng/2*sig_TO</f>
        <v>0.4</v>
      </c>
    </row>
    <row r="33" spans="1:7" ht="15" customHeight="1">
      <c r="A33" s="9" t="s">
        <v>8</v>
      </c>
      <c r="B33" s="120">
        <f>CLmax_TO/V2_Vstall^2</f>
        <v>1.4236111111111109</v>
      </c>
    </row>
    <row r="34" spans="1:7" ht="15" customHeight="1">
      <c r="A34" s="7" t="s">
        <v>266</v>
      </c>
      <c r="B34" s="285">
        <f>(CD0_TO+K*B33^2)/B33</f>
        <v>8.0744116697798032E-2</v>
      </c>
    </row>
    <row r="35" spans="1:7" ht="15" customHeight="1">
      <c r="A35" t="s">
        <v>86</v>
      </c>
      <c r="B35" s="70"/>
    </row>
    <row r="36" spans="1:7" ht="15" customHeight="1">
      <c r="A36" s="91" t="s">
        <v>83</v>
      </c>
      <c r="B36" s="285">
        <f>VLOOKUP(AltLand_ft,ISA!B2:H163,4,FALSE)/ISA!r0</f>
        <v>1</v>
      </c>
    </row>
    <row r="37" spans="1:7" ht="15" customHeight="1">
      <c r="B37" s="70"/>
    </row>
    <row r="38" spans="1:7" ht="15" customHeight="1">
      <c r="A38" s="122" t="s">
        <v>161</v>
      </c>
      <c r="B38" s="286"/>
    </row>
    <row r="39" spans="1:7" ht="15" customHeight="1">
      <c r="A39" s="9" t="s">
        <v>3</v>
      </c>
      <c r="B39" s="287">
        <f>(568+1.063*Range_nm)*1852</f>
        <v>4497119</v>
      </c>
    </row>
    <row r="40" spans="1:7" ht="15" customHeight="1">
      <c r="A40" s="9" t="s">
        <v>6</v>
      </c>
      <c r="B40" s="287">
        <v>38000</v>
      </c>
    </row>
    <row r="41" spans="1:7" ht="15" customHeight="1">
      <c r="A41" s="9" t="s">
        <v>189</v>
      </c>
      <c r="B41" s="281">
        <f>VLOOKUP(B40,ISA!B2:H163,5,FALSE)</f>
        <v>295.38810965761633</v>
      </c>
    </row>
    <row r="42" spans="1:7" ht="15" customHeight="1">
      <c r="A42" s="9" t="s">
        <v>113</v>
      </c>
      <c r="B42" s="281">
        <f>B41*Mach</f>
        <v>230.40272553294074</v>
      </c>
    </row>
    <row r="43" spans="1:7" ht="15" customHeight="1">
      <c r="A43" s="9" t="s">
        <v>5</v>
      </c>
      <c r="B43" s="120">
        <f>0.99*(B47/(CD0+K*Working!B47^2))</f>
        <v>18.477393148914683</v>
      </c>
    </row>
    <row r="44" spans="1:7">
      <c r="A44" s="9"/>
    </row>
    <row r="46" spans="1:7">
      <c r="A46" t="s">
        <v>435</v>
      </c>
      <c r="B46">
        <f>VLOOKUP(B40,ISA!B2:H163,4,FALSE)</f>
        <v>0.33198827738075543</v>
      </c>
    </row>
    <row r="47" spans="1:7">
      <c r="A47" s="9" t="s">
        <v>434</v>
      </c>
      <c r="B47">
        <f>W_S/B48</f>
        <v>0.56741658632208813</v>
      </c>
      <c r="D47" t="s">
        <v>437</v>
      </c>
      <c r="F47" t="s">
        <v>438</v>
      </c>
      <c r="G47" t="s">
        <v>439</v>
      </c>
    </row>
    <row r="48" spans="1:7">
      <c r="A48" s="9" t="s">
        <v>436</v>
      </c>
      <c r="B48">
        <f>0.5*B46*B42^2</f>
        <v>8811.8678948200541</v>
      </c>
    </row>
    <row r="53" spans="1:2">
      <c r="A53" s="7"/>
      <c r="B53" s="6"/>
    </row>
  </sheetData>
  <customSheetViews>
    <customSheetView guid="{3FE7FC3F-F0F3-4173-9808-B52B3E7F8E83}" scale="90">
      <pane xSplit="4" ySplit="2" topLeftCell="E3" activePane="bottomRight" state="frozen"/>
      <selection pane="bottomRight" activeCell="H1" sqref="H1:J1"/>
      <pageMargins left="0.7" right="0.7" top="0.75" bottom="0.75" header="0.3" footer="0.3"/>
      <pageSetup paperSize="9" orientation="portrait" r:id="rId1"/>
    </customSheetView>
  </customSheetViews>
  <mergeCells count="11">
    <mergeCell ref="U1:W1"/>
    <mergeCell ref="E2:F2"/>
    <mergeCell ref="H2:I2"/>
    <mergeCell ref="K2:L2"/>
    <mergeCell ref="N2:O2"/>
    <mergeCell ref="Q2:R2"/>
    <mergeCell ref="E1:G1"/>
    <mergeCell ref="K1:M1"/>
    <mergeCell ref="N1:P1"/>
    <mergeCell ref="Q1:S1"/>
    <mergeCell ref="H1:J1"/>
  </mergeCell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J41"/>
  <sheetViews>
    <sheetView zoomScale="85" zoomScaleNormal="85" workbookViewId="0">
      <selection activeCell="G2" sqref="G2"/>
    </sheetView>
  </sheetViews>
  <sheetFormatPr defaultRowHeight="14.4"/>
  <cols>
    <col min="1" max="1" width="40.44140625" customWidth="1"/>
    <col min="2" max="4" width="10.44140625" customWidth="1"/>
    <col min="5" max="7" width="10.5546875" customWidth="1"/>
    <col min="8" max="9" width="9.109375" customWidth="1"/>
  </cols>
  <sheetData>
    <row r="1" spans="1:10">
      <c r="B1" t="s">
        <v>53</v>
      </c>
      <c r="C1" t="s">
        <v>52</v>
      </c>
      <c r="D1" t="s">
        <v>51</v>
      </c>
      <c r="F1" s="345" t="s">
        <v>111</v>
      </c>
      <c r="G1" s="345"/>
    </row>
    <row r="2" spans="1:10">
      <c r="A2" t="s">
        <v>50</v>
      </c>
      <c r="B2" s="52">
        <v>0</v>
      </c>
      <c r="C2" s="52">
        <v>0</v>
      </c>
      <c r="D2" s="52">
        <v>15</v>
      </c>
      <c r="F2" s="80" t="s">
        <v>108</v>
      </c>
      <c r="G2" s="77">
        <f>(0.46+Xwing_adjust)*Lfuse</f>
        <v>19.107616</v>
      </c>
      <c r="I2" s="120">
        <v>-0.1</v>
      </c>
      <c r="J2" s="121">
        <f>B36</f>
        <v>0.16596304768040235</v>
      </c>
    </row>
    <row r="3" spans="1:10">
      <c r="A3" t="s">
        <v>49</v>
      </c>
      <c r="B3">
        <v>-0.155</v>
      </c>
      <c r="C3">
        <v>-0.36</v>
      </c>
      <c r="D3">
        <v>-0.55000000000000004</v>
      </c>
      <c r="F3" s="80" t="s">
        <v>199</v>
      </c>
      <c r="G3" s="77">
        <f>0.97*Lfuse</f>
        <v>42.123607999999997</v>
      </c>
      <c r="I3" s="120">
        <v>0.18</v>
      </c>
      <c r="J3" s="121">
        <f>B36</f>
        <v>0.16596304768040235</v>
      </c>
    </row>
    <row r="4" spans="1:10">
      <c r="A4" t="s">
        <v>451</v>
      </c>
      <c r="B4">
        <v>6.68</v>
      </c>
      <c r="C4">
        <v>5.42</v>
      </c>
      <c r="D4">
        <v>5.44</v>
      </c>
      <c r="F4" s="81" t="s">
        <v>48</v>
      </c>
      <c r="G4" s="78">
        <f>MAC_s*SQRT(Sref*AR)/2</f>
        <v>3.9045274661341893</v>
      </c>
    </row>
    <row r="5" spans="1:10">
      <c r="A5" t="s">
        <v>46</v>
      </c>
      <c r="B5" s="52">
        <v>-4.3</v>
      </c>
      <c r="C5" s="52">
        <v>-7.9</v>
      </c>
      <c r="D5" s="52">
        <v>-15.3</v>
      </c>
      <c r="F5" s="80" t="s">
        <v>47</v>
      </c>
      <c r="G5" s="77">
        <f>0.5*Lfuse</f>
        <v>21.713200000000001</v>
      </c>
    </row>
    <row r="6" spans="1:10">
      <c r="A6" t="s">
        <v>452</v>
      </c>
      <c r="B6">
        <v>3.8</v>
      </c>
      <c r="C6">
        <v>3.3</v>
      </c>
      <c r="D6">
        <v>3.3</v>
      </c>
      <c r="F6" s="80" t="s">
        <v>45</v>
      </c>
      <c r="G6" s="77">
        <f>IF(Mach&gt;0.8,0.25,0.5)*Dfuse</f>
        <v>2.27</v>
      </c>
    </row>
    <row r="7" spans="1:10">
      <c r="A7" s="7" t="s">
        <v>419</v>
      </c>
      <c r="B7" s="264">
        <v>0</v>
      </c>
      <c r="C7" s="264">
        <v>-12</v>
      </c>
      <c r="D7" s="264">
        <v>-10</v>
      </c>
      <c r="E7" t="s">
        <v>426</v>
      </c>
      <c r="F7" s="70" t="s">
        <v>198</v>
      </c>
      <c r="G7" s="51">
        <f>(G5-Xnwb)/G4</f>
        <v>0.66732377287634959</v>
      </c>
    </row>
    <row r="8" spans="1:10">
      <c r="A8" s="262" t="s">
        <v>453</v>
      </c>
      <c r="B8" s="263">
        <v>1.9</v>
      </c>
      <c r="C8" s="263">
        <v>3</v>
      </c>
      <c r="D8" s="263">
        <v>4.9000000000000004</v>
      </c>
      <c r="F8" s="70"/>
      <c r="G8" s="51"/>
    </row>
    <row r="9" spans="1:10">
      <c r="A9" s="262" t="s">
        <v>454</v>
      </c>
      <c r="B9" s="262">
        <v>0.44</v>
      </c>
      <c r="C9" s="262">
        <v>0.38</v>
      </c>
      <c r="D9" s="262">
        <v>0.32</v>
      </c>
    </row>
    <row r="10" spans="1:10">
      <c r="A10" s="265" t="s">
        <v>44</v>
      </c>
      <c r="B10" s="265">
        <v>1.73</v>
      </c>
      <c r="C10" s="265">
        <v>1.73</v>
      </c>
      <c r="D10" s="265">
        <v>1.73</v>
      </c>
      <c r="F10" s="82" t="s">
        <v>93</v>
      </c>
      <c r="G10" s="83">
        <f>SQRT(W_S/(CLmax_TO*0.5*ISA!r0))*1.1</f>
        <v>69.414102104189269</v>
      </c>
    </row>
    <row r="11" spans="1:10">
      <c r="A11" s="265" t="s">
        <v>43</v>
      </c>
      <c r="B11" s="266">
        <v>0</v>
      </c>
      <c r="C11" s="266">
        <v>-20</v>
      </c>
      <c r="D11" s="266">
        <v>-20</v>
      </c>
      <c r="F11" s="82" t="s">
        <v>92</v>
      </c>
      <c r="G11" s="83">
        <f>SQRT((W_S*MLW_MTOW)/(CLmax_Land*0.5*ISA!r0))*1.3</f>
        <v>65.485981539637152</v>
      </c>
    </row>
    <row r="12" spans="1:10">
      <c r="A12" s="2" t="s">
        <v>110</v>
      </c>
      <c r="F12" s="82"/>
    </row>
    <row r="13" spans="1:10">
      <c r="A13" s="2" t="s">
        <v>56</v>
      </c>
      <c r="B13" s="53">
        <f>B4*PI()/180*(B2-B5)</f>
        <v>0.50132837434285116</v>
      </c>
      <c r="C13" s="53">
        <f t="shared" ref="C13:D13" si="0">C4*PI()/180*(C2-C5)</f>
        <v>0.74731507911893202</v>
      </c>
      <c r="D13" s="53">
        <f t="shared" si="0"/>
        <v>2.876861112647294</v>
      </c>
      <c r="F13" s="82" t="s">
        <v>109</v>
      </c>
      <c r="G13" s="53">
        <f>CLmax_TO</f>
        <v>2.0499999999999998</v>
      </c>
    </row>
    <row r="14" spans="1:10">
      <c r="A14" s="2" t="s">
        <v>57</v>
      </c>
      <c r="B14" s="53">
        <f>B6*PI()/180*(B2+B7-(B8+B9*B2))+B10*PI()/180*B11</f>
        <v>-0.12601277199399058</v>
      </c>
      <c r="C14" s="53">
        <f t="shared" ref="C14:D14" si="1">C6*PI()/180*(C2+C7-(C8+C9*C2))+C10*PI()/180*C11</f>
        <v>-1.4678219009272313</v>
      </c>
      <c r="D14" s="53">
        <f t="shared" si="1"/>
        <v>-0.87458448817435852</v>
      </c>
      <c r="F14" s="82" t="s">
        <v>197</v>
      </c>
      <c r="G14" s="53">
        <f>CD0+dCD0_Land+K*CLmax_Land^2</f>
        <v>0.42234411896168805</v>
      </c>
    </row>
    <row r="19" spans="1:7">
      <c r="C19" s="70"/>
      <c r="D19" s="70" t="s">
        <v>55</v>
      </c>
      <c r="E19" s="70" t="s">
        <v>54</v>
      </c>
      <c r="F19" s="70" t="s">
        <v>87</v>
      </c>
      <c r="G19" s="70" t="s">
        <v>88</v>
      </c>
    </row>
    <row r="20" spans="1:7">
      <c r="A20" t="s">
        <v>90</v>
      </c>
      <c r="C20" s="70" t="s">
        <v>418</v>
      </c>
      <c r="D20" s="70" t="s">
        <v>84</v>
      </c>
      <c r="E20" s="70" t="s">
        <v>89</v>
      </c>
      <c r="F20" s="70" t="s">
        <v>85</v>
      </c>
      <c r="G20" s="70" t="s">
        <v>86</v>
      </c>
    </row>
    <row r="21" spans="1:7" ht="15" customHeight="1">
      <c r="A21" s="54">
        <v>-0.3</v>
      </c>
      <c r="B21" s="54"/>
      <c r="C21" s="51">
        <f t="shared" ref="C21:C34" si="2">(Xtail-G$5)/MAC-A21</f>
        <v>5.5273695541980699</v>
      </c>
      <c r="D21">
        <f>(A21)/((B$6/B$4)*(1-B$9)*C21)</f>
        <v>-0.17037567582088328</v>
      </c>
      <c r="E21" s="50">
        <f>(A21+0.07)*((B$6/B$4)*(1-B$9)*C21)^-1</f>
        <v>-0.1306213514626772</v>
      </c>
      <c r="F21" s="50">
        <f t="shared" ref="F21:F34" si="3">(C$3+C$13*hG-W_qS_TO*(hG-A21-T_W*ZT/MAC))/(C$14*(C21+A21-hG))</f>
        <v>0.22721801189369176</v>
      </c>
      <c r="G21" s="50">
        <f t="shared" ref="G21:G34" si="4">(D$3+D$13*A21+CD_Land*ZT/MAC)/(D$14*C21)</f>
        <v>0.24151444196154695</v>
      </c>
    </row>
    <row r="22" spans="1:7" ht="15" customHeight="1">
      <c r="A22" s="54">
        <v>-0.25</v>
      </c>
      <c r="B22" s="54"/>
      <c r="C22" s="51">
        <f t="shared" si="2"/>
        <v>5.47736955419807</v>
      </c>
      <c r="D22">
        <f t="shared" ref="D22:D34" si="5">(A22)/((B$6/B$4)*(1-B$9)*C22)</f>
        <v>-0.14327578746056008</v>
      </c>
      <c r="E22" s="50">
        <f t="shared" ref="E22:E34" si="6">(A22+0.07)*((B$6/B$4)*(1-B$9)*C22)^-1</f>
        <v>-0.10315856697160325</v>
      </c>
      <c r="F22" s="50">
        <f t="shared" si="3"/>
        <v>0.21190427084036942</v>
      </c>
      <c r="G22" s="50">
        <f t="shared" si="4"/>
        <v>0.21369188187506835</v>
      </c>
    </row>
    <row r="23" spans="1:7" ht="15" customHeight="1">
      <c r="A23" s="54">
        <v>-0.2</v>
      </c>
      <c r="B23" s="54"/>
      <c r="C23" s="51">
        <f t="shared" si="2"/>
        <v>5.4273695541980702</v>
      </c>
      <c r="D23">
        <f t="shared" si="5"/>
        <v>-0.11567658008225402</v>
      </c>
      <c r="E23" s="50">
        <f t="shared" si="6"/>
        <v>-7.5189777053465121E-2</v>
      </c>
      <c r="F23" s="50">
        <f t="shared" si="3"/>
        <v>0.19659052978704705</v>
      </c>
      <c r="G23" s="50">
        <f t="shared" si="4"/>
        <v>0.18535668744871958</v>
      </c>
    </row>
    <row r="24" spans="1:7" ht="15" customHeight="1">
      <c r="A24" s="54">
        <v>-0.15</v>
      </c>
      <c r="B24" s="54"/>
      <c r="C24" s="51">
        <f t="shared" si="2"/>
        <v>5.3773695541980704</v>
      </c>
      <c r="D24">
        <f t="shared" si="5"/>
        <v>-8.756412534201502E-2</v>
      </c>
      <c r="E24" s="50">
        <f t="shared" si="6"/>
        <v>-4.6700866849074672E-2</v>
      </c>
      <c r="F24" s="50">
        <f t="shared" si="3"/>
        <v>0.18127678873372469</v>
      </c>
      <c r="G24" s="50">
        <f t="shared" si="4"/>
        <v>0.15649455891191469</v>
      </c>
    </row>
    <row r="25" spans="1:7" ht="15" customHeight="1">
      <c r="A25" s="54">
        <v>-0.1</v>
      </c>
      <c r="B25" s="54"/>
      <c r="C25" s="51">
        <f t="shared" si="2"/>
        <v>5.3273695541980697</v>
      </c>
      <c r="D25">
        <f t="shared" si="5"/>
        <v>-5.8923971998286334E-2</v>
      </c>
      <c r="E25" s="50">
        <f t="shared" si="6"/>
        <v>-1.7677191599485897E-2</v>
      </c>
      <c r="F25" s="50">
        <f t="shared" si="3"/>
        <v>0.16596304768040235</v>
      </c>
      <c r="G25" s="50">
        <f t="shared" si="4"/>
        <v>0.12709065965236996</v>
      </c>
    </row>
    <row r="26" spans="1:7" ht="15" customHeight="1">
      <c r="A26" s="54">
        <v>-0.05</v>
      </c>
      <c r="B26" s="54"/>
      <c r="C26" s="51">
        <f t="shared" si="2"/>
        <v>5.2773695541980699</v>
      </c>
      <c r="D26">
        <f t="shared" si="5"/>
        <v>-2.9741121141154462E-2</v>
      </c>
      <c r="E26" s="50">
        <f t="shared" si="6"/>
        <v>1.1896448456461785E-2</v>
      </c>
      <c r="F26" s="50">
        <f t="shared" si="3"/>
        <v>0.15064930662708004</v>
      </c>
      <c r="G26" s="50">
        <f t="shared" si="4"/>
        <v>9.7129590784792774E-2</v>
      </c>
    </row>
    <row r="27" spans="1:7" ht="15" customHeight="1">
      <c r="A27" s="54">
        <v>0</v>
      </c>
      <c r="B27" s="54"/>
      <c r="C27" s="51">
        <f t="shared" si="2"/>
        <v>5.22736955419807</v>
      </c>
      <c r="D27">
        <f t="shared" si="5"/>
        <v>0</v>
      </c>
      <c r="E27" s="50">
        <f t="shared" si="6"/>
        <v>4.2035834625235892E-2</v>
      </c>
      <c r="F27" s="50">
        <f t="shared" si="3"/>
        <v>0.13533556557375764</v>
      </c>
      <c r="G27" s="50">
        <f t="shared" si="4"/>
        <v>6.6595364260062531E-2</v>
      </c>
    </row>
    <row r="28" spans="1:7" ht="15" customHeight="1">
      <c r="A28" s="54">
        <v>0.05</v>
      </c>
      <c r="B28" s="54"/>
      <c r="C28" s="51">
        <f t="shared" si="2"/>
        <v>5.1773695541980702</v>
      </c>
      <c r="D28">
        <f t="shared" si="5"/>
        <v>3.0315565766553833E-2</v>
      </c>
      <c r="E28" s="50">
        <f t="shared" si="6"/>
        <v>7.2757357839729198E-2</v>
      </c>
      <c r="F28" s="50">
        <f t="shared" si="3"/>
        <v>0.12002182452043528</v>
      </c>
      <c r="G28" s="50">
        <f t="shared" si="4"/>
        <v>3.5471374416235768E-2</v>
      </c>
    </row>
    <row r="29" spans="1:7" ht="15" customHeight="1">
      <c r="A29" s="54">
        <v>0.1</v>
      </c>
      <c r="B29" s="54"/>
      <c r="C29" s="51">
        <f t="shared" si="2"/>
        <v>5.1273695541980704</v>
      </c>
      <c r="D29">
        <f t="shared" si="5"/>
        <v>6.1222381401994784E-2</v>
      </c>
      <c r="E29" s="50">
        <f t="shared" si="6"/>
        <v>0.10407804838339112</v>
      </c>
      <c r="F29" s="50">
        <f t="shared" si="3"/>
        <v>0.10470808346711295</v>
      </c>
      <c r="G29" s="50">
        <f t="shared" si="4"/>
        <v>3.7403678650147917E-3</v>
      </c>
    </row>
    <row r="30" spans="1:7" ht="15" customHeight="1">
      <c r="A30" s="54">
        <v>0.15</v>
      </c>
      <c r="B30" s="54"/>
      <c r="C30" s="51">
        <f t="shared" si="2"/>
        <v>5.0773695541980697</v>
      </c>
      <c r="D30">
        <f t="shared" si="5"/>
        <v>9.273791411633904E-2</v>
      </c>
      <c r="E30" s="50">
        <f t="shared" si="6"/>
        <v>0.13601560737063059</v>
      </c>
      <c r="F30" s="50">
        <f t="shared" si="3"/>
        <v>8.9394342413790601E-2</v>
      </c>
      <c r="G30" s="50">
        <f t="shared" si="4"/>
        <v>-2.8615588401063648E-2</v>
      </c>
    </row>
    <row r="31" spans="1:7" ht="15" customHeight="1">
      <c r="A31" s="54">
        <v>0.18</v>
      </c>
      <c r="B31" s="54"/>
      <c r="C31" s="51">
        <f t="shared" si="2"/>
        <v>5.0473695541980703</v>
      </c>
      <c r="D31">
        <f t="shared" si="5"/>
        <v>0.11194694343611143</v>
      </c>
      <c r="E31" s="50">
        <f t="shared" si="6"/>
        <v>0.15548186588348809</v>
      </c>
      <c r="F31" s="50">
        <f t="shared" si="3"/>
        <v>8.0206097781797159E-2</v>
      </c>
      <c r="G31" s="50">
        <f t="shared" si="4"/>
        <v>-4.8336864199187361E-2</v>
      </c>
    </row>
    <row r="32" spans="1:7" ht="15" customHeight="1">
      <c r="A32" s="54">
        <v>0.2</v>
      </c>
      <c r="B32" s="54"/>
      <c r="C32" s="51">
        <f t="shared" si="2"/>
        <v>5.0273695541980699</v>
      </c>
      <c r="D32">
        <f t="shared" si="5"/>
        <v>0.1248803260042668</v>
      </c>
      <c r="E32" s="50">
        <f t="shared" si="6"/>
        <v>0.16858844010576018</v>
      </c>
      <c r="F32" s="50">
        <f t="shared" si="3"/>
        <v>7.4080601360468221E-2</v>
      </c>
      <c r="G32" s="50">
        <f t="shared" si="4"/>
        <v>-6.1615140804590574E-2</v>
      </c>
    </row>
    <row r="33" spans="1:7" ht="15" customHeight="1">
      <c r="A33" s="54">
        <v>0.25</v>
      </c>
      <c r="B33" s="54"/>
      <c r="C33" s="51">
        <f t="shared" si="2"/>
        <v>4.97736955419807</v>
      </c>
      <c r="D33">
        <f t="shared" si="5"/>
        <v>0.15766850894732581</v>
      </c>
      <c r="E33" s="50">
        <f t="shared" si="6"/>
        <v>0.20181569145257705</v>
      </c>
      <c r="F33" s="50">
        <f t="shared" si="3"/>
        <v>5.8766860307145882E-2</v>
      </c>
      <c r="G33" s="50">
        <f t="shared" si="4"/>
        <v>-9.5277685016224092E-2</v>
      </c>
    </row>
    <row r="34" spans="1:7" ht="15" customHeight="1">
      <c r="A34" s="54">
        <v>0.3</v>
      </c>
      <c r="B34" s="54"/>
      <c r="C34" s="51">
        <f t="shared" si="2"/>
        <v>4.9273695541980702</v>
      </c>
      <c r="D34">
        <f t="shared" si="5"/>
        <v>0.19112212164113537</v>
      </c>
      <c r="E34" s="50">
        <f t="shared" si="6"/>
        <v>0.2357172833574003</v>
      </c>
      <c r="F34" s="50">
        <f t="shared" si="3"/>
        <v>4.345311925382353E-2</v>
      </c>
      <c r="G34" s="50">
        <f t="shared" si="4"/>
        <v>-0.12962340396929656</v>
      </c>
    </row>
    <row r="35" spans="1:7" ht="15" customHeight="1">
      <c r="A35" s="54"/>
      <c r="B35" s="54"/>
      <c r="C35" s="51"/>
      <c r="D35" s="50"/>
      <c r="E35" s="50"/>
      <c r="F35" s="50"/>
      <c r="G35" s="50"/>
    </row>
    <row r="36" spans="1:7" s="10" customFormat="1" ht="18">
      <c r="A36" s="72" t="s">
        <v>172</v>
      </c>
      <c r="B36" s="129">
        <f>MAX(E25:G25,E31:G31)</f>
        <v>0.16596304768040235</v>
      </c>
      <c r="C36" s="9"/>
      <c r="D36" s="86"/>
      <c r="E36" s="71"/>
      <c r="F36" s="71"/>
      <c r="G36" s="71"/>
    </row>
    <row r="37" spans="1:7">
      <c r="A37" s="10" t="s">
        <v>395</v>
      </c>
      <c r="B37" s="175">
        <f>B36*(Xtail-Xnwb)/MAC</f>
        <v>0.97830126970260145</v>
      </c>
    </row>
    <row r="41" spans="1:7">
      <c r="B41" s="2"/>
      <c r="C41" s="2"/>
      <c r="D41" s="2"/>
    </row>
  </sheetData>
  <mergeCells count="1">
    <mergeCell ref="F1:G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O39"/>
  <sheetViews>
    <sheetView zoomScale="90" zoomScaleNormal="90" workbookViewId="0">
      <selection activeCell="K26" sqref="K26"/>
    </sheetView>
  </sheetViews>
  <sheetFormatPr defaultRowHeight="14.4"/>
  <cols>
    <col min="1" max="1" width="40.5546875" bestFit="1" customWidth="1"/>
    <col min="2" max="2" width="9" customWidth="1"/>
    <col min="3" max="3" width="9.5546875" customWidth="1"/>
    <col min="6" max="6" width="9" style="7"/>
    <col min="8" max="8" width="17.6640625" bestFit="1" customWidth="1"/>
    <col min="9" max="9" width="12.88671875" bestFit="1" customWidth="1"/>
    <col min="11" max="11" width="24" bestFit="1" customWidth="1"/>
    <col min="12" max="12" width="9" style="87"/>
    <col min="16" max="16" width="24" bestFit="1" customWidth="1"/>
  </cols>
  <sheetData>
    <row r="1" spans="1:14">
      <c r="B1" s="10" t="s">
        <v>181</v>
      </c>
      <c r="C1" s="70" t="s">
        <v>127</v>
      </c>
      <c r="D1" s="70" t="s">
        <v>128</v>
      </c>
      <c r="E1" s="70" t="s">
        <v>129</v>
      </c>
      <c r="F1" s="80" t="s">
        <v>279</v>
      </c>
      <c r="H1" s="10" t="s">
        <v>145</v>
      </c>
      <c r="I1" s="87" t="s">
        <v>296</v>
      </c>
      <c r="J1" t="s">
        <v>180</v>
      </c>
      <c r="K1" t="s">
        <v>144</v>
      </c>
      <c r="L1" s="70"/>
    </row>
    <row r="2" spans="1:14">
      <c r="B2" s="248"/>
      <c r="C2" s="252"/>
      <c r="D2" s="252"/>
      <c r="E2" s="249"/>
      <c r="F2" s="80"/>
      <c r="H2" t="s">
        <v>132</v>
      </c>
      <c r="I2" s="87">
        <v>110</v>
      </c>
      <c r="J2" s="123">
        <v>4</v>
      </c>
      <c r="K2" t="s">
        <v>136</v>
      </c>
      <c r="L2"/>
    </row>
    <row r="3" spans="1:14">
      <c r="A3" s="10" t="s">
        <v>126</v>
      </c>
      <c r="B3" s="250">
        <v>148</v>
      </c>
      <c r="C3" s="251">
        <v>0</v>
      </c>
      <c r="D3" s="251">
        <v>24</v>
      </c>
      <c r="E3" s="97">
        <v>124</v>
      </c>
      <c r="F3" s="7">
        <f>SUM(C3:E3)-Pax</f>
        <v>3</v>
      </c>
      <c r="H3" t="s">
        <v>133</v>
      </c>
      <c r="I3" s="87">
        <v>75</v>
      </c>
      <c r="J3" s="123">
        <v>0</v>
      </c>
      <c r="K3" t="s">
        <v>137</v>
      </c>
      <c r="L3"/>
    </row>
    <row r="4" spans="1:14">
      <c r="A4" s="130" t="s">
        <v>280</v>
      </c>
      <c r="B4" s="134"/>
      <c r="C4" s="253"/>
      <c r="D4" s="253"/>
      <c r="E4" s="254"/>
      <c r="H4" t="s">
        <v>139</v>
      </c>
      <c r="I4" s="87">
        <v>55</v>
      </c>
      <c r="J4" s="123">
        <v>0</v>
      </c>
      <c r="K4" t="s">
        <v>140</v>
      </c>
      <c r="L4"/>
    </row>
    <row r="5" spans="1:14">
      <c r="A5" t="s">
        <v>130</v>
      </c>
      <c r="B5" s="137"/>
      <c r="D5">
        <v>4</v>
      </c>
      <c r="E5" s="97">
        <v>6</v>
      </c>
      <c r="H5" t="s">
        <v>143</v>
      </c>
      <c r="I5" s="87">
        <v>45</v>
      </c>
      <c r="J5" s="123">
        <v>0</v>
      </c>
      <c r="K5" t="s">
        <v>138</v>
      </c>
      <c r="L5"/>
    </row>
    <row r="6" spans="1:14">
      <c r="A6" t="s">
        <v>149</v>
      </c>
      <c r="B6" s="137"/>
      <c r="D6">
        <v>26</v>
      </c>
      <c r="E6" s="97">
        <v>20</v>
      </c>
      <c r="H6" t="s">
        <v>134</v>
      </c>
      <c r="I6" s="87">
        <v>40</v>
      </c>
      <c r="J6" s="123">
        <v>2</v>
      </c>
      <c r="K6" t="s">
        <v>142</v>
      </c>
      <c r="L6"/>
    </row>
    <row r="7" spans="1:14">
      <c r="A7" s="131" t="s">
        <v>281</v>
      </c>
      <c r="B7" s="138"/>
      <c r="C7" s="139">
        <f>(C5*C6)*in2m</f>
        <v>0</v>
      </c>
      <c r="D7" s="139">
        <f>D6*2.54/100</f>
        <v>0.6604000000000001</v>
      </c>
      <c r="E7" s="140">
        <f>E6*2.54/100</f>
        <v>0.50800000000000001</v>
      </c>
      <c r="H7" t="s">
        <v>135</v>
      </c>
      <c r="I7" s="87">
        <v>35</v>
      </c>
      <c r="J7" s="123">
        <v>0</v>
      </c>
      <c r="K7" t="s">
        <v>141</v>
      </c>
      <c r="L7"/>
      <c r="N7">
        <f>20*2.54</f>
        <v>50.8</v>
      </c>
    </row>
    <row r="8" spans="1:14">
      <c r="A8" t="s">
        <v>148</v>
      </c>
      <c r="B8" s="137"/>
      <c r="C8" s="141"/>
      <c r="D8" s="141"/>
      <c r="E8" s="97">
        <v>1</v>
      </c>
      <c r="G8" t="s">
        <v>426</v>
      </c>
      <c r="H8" t="s">
        <v>179</v>
      </c>
      <c r="J8" s="123">
        <f>SUMPRODUCT($I$2:$I$7,$J$2:$J$7)</f>
        <v>520</v>
      </c>
      <c r="L8"/>
    </row>
    <row r="9" spans="1:14" s="10" customFormat="1">
      <c r="A9" t="s">
        <v>147</v>
      </c>
      <c r="B9" s="142">
        <f>0.44+0.6*E5</f>
        <v>4.04</v>
      </c>
      <c r="C9" s="141"/>
      <c r="D9" s="141"/>
      <c r="E9" s="143"/>
      <c r="F9" s="7"/>
      <c r="G9"/>
    </row>
    <row r="10" spans="1:14">
      <c r="A10" s="10" t="s">
        <v>268</v>
      </c>
      <c r="B10" s="144">
        <f>B9+0.5</f>
        <v>4.54</v>
      </c>
      <c r="C10" s="145"/>
      <c r="D10" s="145"/>
      <c r="E10" s="321">
        <f>0.44+0.6*E5</f>
        <v>4.04</v>
      </c>
      <c r="F10" s="132"/>
      <c r="I10" s="56"/>
      <c r="J10" s="79"/>
    </row>
    <row r="11" spans="1:14">
      <c r="A11" s="130" t="s">
        <v>282</v>
      </c>
      <c r="B11" s="134"/>
      <c r="C11" s="135"/>
      <c r="D11" s="135"/>
      <c r="E11" s="146"/>
      <c r="I11" s="56"/>
      <c r="J11" s="79"/>
    </row>
    <row r="12" spans="1:14">
      <c r="A12" t="s">
        <v>278</v>
      </c>
      <c r="B12" s="137"/>
      <c r="D12">
        <v>36</v>
      </c>
      <c r="E12" s="97">
        <v>32</v>
      </c>
      <c r="H12" s="56"/>
      <c r="L12"/>
    </row>
    <row r="13" spans="1:14">
      <c r="A13" s="133" t="s">
        <v>152</v>
      </c>
      <c r="B13" s="147"/>
      <c r="C13" s="135"/>
      <c r="D13" s="135"/>
      <c r="E13" s="136"/>
    </row>
    <row r="14" spans="1:14">
      <c r="A14" t="s">
        <v>283</v>
      </c>
      <c r="B14" s="142">
        <f>Dfuse*1.5</f>
        <v>6.8100000000000005</v>
      </c>
      <c r="C14" s="141"/>
      <c r="D14" s="141"/>
      <c r="E14" s="149"/>
    </row>
    <row r="15" spans="1:14">
      <c r="A15" t="s">
        <v>284</v>
      </c>
      <c r="B15" s="150">
        <v>3.7</v>
      </c>
      <c r="C15" s="141"/>
      <c r="D15" s="141"/>
      <c r="E15" s="149"/>
    </row>
    <row r="16" spans="1:14">
      <c r="A16" t="s">
        <v>285</v>
      </c>
      <c r="B16" s="142">
        <v>2</v>
      </c>
      <c r="C16" s="141" t="s">
        <v>447</v>
      </c>
      <c r="D16" s="141" t="s">
        <v>449</v>
      </c>
      <c r="E16" s="149"/>
      <c r="F16" s="124"/>
    </row>
    <row r="17" spans="1:15" s="7" customFormat="1">
      <c r="A17" t="s">
        <v>286</v>
      </c>
      <c r="B17" s="137"/>
      <c r="C17" s="88"/>
      <c r="D17" s="88">
        <v>1</v>
      </c>
      <c r="E17" s="151"/>
      <c r="F17" s="7" t="s">
        <v>446</v>
      </c>
      <c r="L17" s="123"/>
    </row>
    <row r="18" spans="1:15">
      <c r="A18" s="124" t="s">
        <v>287</v>
      </c>
      <c r="B18" s="152">
        <f>SUMPRODUCT($C$12:$E$12,C17:E17)*in2m+B16</f>
        <v>2.9144000000000001</v>
      </c>
      <c r="C18" s="153"/>
      <c r="D18" s="153"/>
      <c r="E18" s="154"/>
      <c r="F18" s="322">
        <f>B14-B15-B18</f>
        <v>0.19560000000000022</v>
      </c>
    </row>
    <row r="19" spans="1:15">
      <c r="A19" s="133" t="s">
        <v>153</v>
      </c>
      <c r="B19" s="147"/>
      <c r="C19" s="135"/>
      <c r="D19" s="135"/>
      <c r="E19" s="136"/>
    </row>
    <row r="20" spans="1:15">
      <c r="A20" t="s">
        <v>288</v>
      </c>
      <c r="B20" s="148">
        <f>Dfuse*3.5</f>
        <v>15.89</v>
      </c>
      <c r="C20" s="141"/>
      <c r="D20" s="141"/>
      <c r="E20" s="149"/>
    </row>
    <row r="21" spans="1:15">
      <c r="A21" t="s">
        <v>289</v>
      </c>
      <c r="B21" s="150">
        <f>(LTailCone-6.25)/1.13</f>
        <v>8.5309734513274353</v>
      </c>
      <c r="C21" s="141"/>
      <c r="D21" s="141"/>
      <c r="E21" s="149"/>
    </row>
    <row r="22" spans="1:15">
      <c r="A22" t="s">
        <v>290</v>
      </c>
      <c r="B22" s="142">
        <v>2.9</v>
      </c>
      <c r="C22" s="323" t="s">
        <v>447</v>
      </c>
      <c r="D22" s="155" t="s">
        <v>448</v>
      </c>
      <c r="E22" s="149"/>
      <c r="F22" s="124"/>
      <c r="G22" s="88"/>
    </row>
    <row r="23" spans="1:15">
      <c r="A23" t="s">
        <v>291</v>
      </c>
      <c r="B23" s="137"/>
      <c r="E23" s="151">
        <v>3</v>
      </c>
      <c r="F23" s="125"/>
      <c r="G23" s="88"/>
      <c r="H23" s="88"/>
      <c r="I23" s="88"/>
      <c r="J23" s="88"/>
      <c r="K23" s="88"/>
      <c r="L23" s="88"/>
      <c r="M23" s="88"/>
      <c r="N23" s="88"/>
      <c r="O23" s="88"/>
    </row>
    <row r="24" spans="1:15" s="7" customFormat="1">
      <c r="A24" t="s">
        <v>292</v>
      </c>
      <c r="B24" s="137"/>
      <c r="C24"/>
      <c r="D24"/>
      <c r="E24" s="151"/>
      <c r="F24" s="125" t="s">
        <v>446</v>
      </c>
      <c r="L24" s="123"/>
    </row>
    <row r="25" spans="1:15">
      <c r="A25" s="124" t="s">
        <v>287</v>
      </c>
      <c r="B25" s="152">
        <f>SUMPRODUCT($C$12:$E$12,C23:E23)*in2m+B22</f>
        <v>5.3384</v>
      </c>
      <c r="C25" s="153"/>
      <c r="D25" s="153"/>
      <c r="E25" s="154"/>
      <c r="F25" s="322">
        <f>B21-B22-B25</f>
        <v>0.29257345132743495</v>
      </c>
      <c r="H25" s="88"/>
      <c r="I25" s="88"/>
      <c r="J25" s="88"/>
      <c r="K25" s="88"/>
      <c r="L25" s="88"/>
      <c r="M25" s="88"/>
      <c r="N25" s="88"/>
      <c r="O25" s="88"/>
    </row>
    <row r="26" spans="1:15">
      <c r="A26" s="133" t="s">
        <v>182</v>
      </c>
      <c r="B26" s="147"/>
      <c r="C26" s="135"/>
      <c r="D26" s="135"/>
      <c r="E26" s="156"/>
    </row>
    <row r="27" spans="1:15">
      <c r="A27" t="s">
        <v>417</v>
      </c>
      <c r="B27" s="142"/>
      <c r="C27" s="346"/>
      <c r="D27" s="346"/>
      <c r="E27" s="347"/>
    </row>
    <row r="28" spans="1:15">
      <c r="A28" t="s">
        <v>298</v>
      </c>
      <c r="B28" s="142">
        <f>30*0.0254*2</f>
        <v>1.524</v>
      </c>
      <c r="C28" s="348" t="s">
        <v>450</v>
      </c>
      <c r="D28" s="348"/>
      <c r="E28" s="349"/>
      <c r="F28" s="124"/>
    </row>
    <row r="29" spans="1:15">
      <c r="A29" t="s">
        <v>297</v>
      </c>
      <c r="B29" s="137"/>
      <c r="C29" s="88"/>
      <c r="D29" s="88">
        <f>6-D17-D23</f>
        <v>5</v>
      </c>
      <c r="E29" s="151">
        <f>21-E17-E23</f>
        <v>18</v>
      </c>
    </row>
    <row r="30" spans="1:15" s="7" customFormat="1">
      <c r="A30" t="s">
        <v>131</v>
      </c>
      <c r="B30" s="91">
        <f>SUM(C30:E30)</f>
        <v>148</v>
      </c>
      <c r="C30"/>
      <c r="D30">
        <f>D29*D5+D17*D5+D23*D5</f>
        <v>24</v>
      </c>
      <c r="E30" s="97">
        <f>(E29-1)*E5+E17*E5+E23*E5+4</f>
        <v>124</v>
      </c>
      <c r="F30" s="7">
        <f>SUM(C30:E30)-Pax</f>
        <v>3</v>
      </c>
      <c r="L30" s="123"/>
    </row>
    <row r="31" spans="1:15">
      <c r="A31" s="124" t="s">
        <v>293</v>
      </c>
      <c r="B31" s="152">
        <f>SUMPRODUCT($C$12:$E$12,C29:E29)*in2m+B28</f>
        <v>20.726400000000002</v>
      </c>
      <c r="C31" s="153"/>
      <c r="D31" s="153"/>
      <c r="E31" s="154"/>
      <c r="F31" s="124"/>
    </row>
    <row r="32" spans="1:15">
      <c r="A32" s="133" t="s">
        <v>294</v>
      </c>
      <c r="B32" s="147"/>
      <c r="C32" s="135"/>
      <c r="D32" s="135"/>
      <c r="E32" s="156"/>
    </row>
    <row r="33" spans="1:12">
      <c r="A33" t="s">
        <v>154</v>
      </c>
      <c r="B33" s="91">
        <v>3</v>
      </c>
      <c r="D33">
        <v>1</v>
      </c>
      <c r="E33" s="97">
        <v>2</v>
      </c>
    </row>
    <row r="34" spans="1:12">
      <c r="A34" t="s">
        <v>299</v>
      </c>
      <c r="B34" s="91">
        <v>2</v>
      </c>
      <c r="D34">
        <v>1</v>
      </c>
      <c r="E34" s="97">
        <v>1</v>
      </c>
    </row>
    <row r="35" spans="1:12">
      <c r="A35" t="s">
        <v>155</v>
      </c>
      <c r="B35" s="91">
        <v>3</v>
      </c>
      <c r="D35">
        <v>1</v>
      </c>
      <c r="E35" s="97">
        <v>2</v>
      </c>
      <c r="I35" s="123"/>
      <c r="L35"/>
    </row>
    <row r="36" spans="1:12">
      <c r="A36" s="130" t="s">
        <v>150</v>
      </c>
      <c r="B36" s="157"/>
      <c r="C36" s="135"/>
      <c r="D36" s="135"/>
      <c r="E36" s="136"/>
    </row>
    <row r="37" spans="1:12">
      <c r="A37" s="10" t="s">
        <v>146</v>
      </c>
      <c r="B37" s="144">
        <f>B18+B25+B31</f>
        <v>28.979200000000002</v>
      </c>
      <c r="C37" s="145"/>
      <c r="D37" s="158"/>
      <c r="E37" s="159"/>
      <c r="I37" s="123"/>
      <c r="L37"/>
    </row>
    <row r="38" spans="1:12">
      <c r="A38" s="130" t="s">
        <v>295</v>
      </c>
      <c r="B38" s="157"/>
      <c r="C38" s="135"/>
      <c r="D38" s="135"/>
      <c r="E38" s="136"/>
    </row>
    <row r="39" spans="1:12">
      <c r="A39" s="10" t="s">
        <v>151</v>
      </c>
      <c r="B39" s="160">
        <f>B14+LTailCone+B31</f>
        <v>43.426400000000001</v>
      </c>
      <c r="C39" s="247"/>
      <c r="D39" s="161"/>
      <c r="E39" s="162">
        <f>5.2*POWER(B3,0.44)</f>
        <v>46.872541084168461</v>
      </c>
    </row>
  </sheetData>
  <mergeCells count="2">
    <mergeCell ref="C27:E27"/>
    <mergeCell ref="C28:E28"/>
  </mergeCells>
  <conditionalFormatting sqref="C7:D7">
    <cfRule type="cellIs" dxfId="3" priority="3" operator="greaterThan">
      <formula>$E$7</formula>
    </cfRule>
  </conditionalFormatting>
  <conditionalFormatting sqref="B18">
    <cfRule type="cellIs" dxfId="2" priority="2" operator="greaterThan">
      <formula>$B$15</formula>
    </cfRule>
  </conditionalFormatting>
  <conditionalFormatting sqref="B25">
    <cfRule type="cellIs" dxfId="1" priority="1" operator="greaterThan">
      <formula>$B$21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S11"/>
  <sheetViews>
    <sheetView topLeftCell="A17" zoomScaleNormal="100" workbookViewId="0">
      <selection activeCell="H12" sqref="H12"/>
    </sheetView>
  </sheetViews>
  <sheetFormatPr defaultRowHeight="14.4"/>
  <sheetData>
    <row r="1" spans="1:19" ht="18" customHeight="1">
      <c r="A1" s="350" t="s">
        <v>194</v>
      </c>
      <c r="B1" s="350"/>
      <c r="C1" s="350" t="s">
        <v>162</v>
      </c>
      <c r="D1" s="350"/>
      <c r="E1" s="350"/>
      <c r="F1" s="350"/>
      <c r="G1" s="350"/>
      <c r="H1" s="350"/>
      <c r="I1" s="350"/>
      <c r="J1" s="350" t="s">
        <v>195</v>
      </c>
      <c r="K1" s="350"/>
      <c r="L1" s="350"/>
      <c r="M1" s="350"/>
      <c r="N1" s="350"/>
      <c r="O1" s="350"/>
      <c r="P1" s="350"/>
      <c r="Q1" s="350"/>
      <c r="R1" s="350"/>
      <c r="S1" s="350"/>
    </row>
    <row r="2" spans="1:19" ht="15.6">
      <c r="A2" s="7" t="s">
        <v>58</v>
      </c>
      <c r="B2">
        <v>0.71</v>
      </c>
      <c r="D2" s="15" t="s">
        <v>61</v>
      </c>
      <c r="E2" s="11">
        <f>SQRT((Mach/M_shock)^2-1)</f>
        <v>0.45486634540718729</v>
      </c>
      <c r="F2" s="1"/>
      <c r="G2" s="15" t="s">
        <v>76</v>
      </c>
      <c r="H2" s="324">
        <f>cc_s/(cr_s+dcr_s)</f>
        <v>0.58078678864712097</v>
      </c>
      <c r="J2" s="61" t="s">
        <v>104</v>
      </c>
      <c r="K2" s="61" t="s">
        <v>106</v>
      </c>
      <c r="L2" s="61" t="s">
        <v>107</v>
      </c>
      <c r="M2" s="61" t="s">
        <v>105</v>
      </c>
      <c r="N2" s="61" t="s">
        <v>125</v>
      </c>
      <c r="O2" s="61" t="s">
        <v>105</v>
      </c>
    </row>
    <row r="3" spans="1:19" ht="16.2">
      <c r="A3" s="59" t="s">
        <v>103</v>
      </c>
      <c r="B3">
        <v>0.2</v>
      </c>
      <c r="D3" s="76" t="s">
        <v>121</v>
      </c>
      <c r="E3" s="63">
        <f>DEGREES(ACOS((M_shock/Mach)))</f>
        <v>24.459190395441809</v>
      </c>
      <c r="G3" s="9" t="s">
        <v>68</v>
      </c>
      <c r="H3" s="9">
        <f>2/3*(cr_s+dcr_s)*(1+H2+H2^2)/(1+H2)</f>
        <v>0.33959822615634355</v>
      </c>
      <c r="J3" s="11">
        <v>0</v>
      </c>
      <c r="K3" s="11">
        <v>0</v>
      </c>
      <c r="L3" s="9">
        <f>J3+B8*TAN(RADIANS(lamLE))</f>
        <v>0.18561960362597818</v>
      </c>
      <c r="M3" s="11">
        <f>K3+eta_mac</f>
        <v>0.3144369272595593</v>
      </c>
      <c r="N3" s="9">
        <f>L3+MAC_s/4</f>
        <v>0.25104605154940834</v>
      </c>
      <c r="O3" s="11">
        <f>M4</f>
        <v>0.3144369272595593</v>
      </c>
    </row>
    <row r="4" spans="1:19" ht="16.8">
      <c r="A4" s="58" t="s">
        <v>60</v>
      </c>
      <c r="B4">
        <v>0.35</v>
      </c>
      <c r="D4" s="57" t="s">
        <v>62</v>
      </c>
      <c r="E4" s="9">
        <f>eta_c^2</f>
        <v>0.12249999999999998</v>
      </c>
      <c r="G4" s="9" t="s">
        <v>70</v>
      </c>
      <c r="H4" s="324">
        <f>eta_c*((cr_s+dcr_s+cc_s)/(2))</f>
        <v>0.11613685260421702</v>
      </c>
      <c r="J4" s="11">
        <f>J3+cr_s</f>
        <v>0.33864365131641827</v>
      </c>
      <c r="K4" s="11">
        <f>K3</f>
        <v>0</v>
      </c>
      <c r="L4" s="9">
        <f>L3+B7</f>
        <v>0.44732539531969884</v>
      </c>
      <c r="M4" s="11">
        <f>M3</f>
        <v>0.3144369272595593</v>
      </c>
    </row>
    <row r="5" spans="1:19" ht="15.6">
      <c r="A5" s="59" t="s">
        <v>124</v>
      </c>
      <c r="B5" s="52">
        <v>5</v>
      </c>
      <c r="C5">
        <f>RADIANS(lambda_c)</f>
        <v>8.7266462599716474E-2</v>
      </c>
      <c r="D5" s="2" t="s">
        <v>65</v>
      </c>
      <c r="E5" s="3">
        <f>((4/AR)-eta_c_2*(tanL½-TAN(C5)))/(1-(eta_c_2/2)+taper*(1+(eta_c_2/2)))</f>
        <v>0.33864365131641827</v>
      </c>
      <c r="G5" s="15" t="s">
        <v>77</v>
      </c>
      <c r="H5" s="9">
        <f>(taper*cr_s)/cc_s</f>
        <v>0.27777777777777785</v>
      </c>
      <c r="J5" s="11">
        <f>J4+eta_c*(TAN(RADIANS(lamTE))-TAN(RADIANS(lambda_c)))</f>
        <v>0.41981572879056189</v>
      </c>
      <c r="K5" s="11">
        <f>K4</f>
        <v>0</v>
      </c>
    </row>
    <row r="6" spans="1:19" ht="15.6">
      <c r="D6" s="62" t="s">
        <v>123</v>
      </c>
      <c r="E6" s="63">
        <f>DEGREES(ATAN(TAN(ACOS((M_shock/Mach)))+(cr_s/2)*(1-taper)))</f>
        <v>30.554365018964422</v>
      </c>
      <c r="F6">
        <f>RADIANS(lamLE)</f>
        <v>0.53327427043710884</v>
      </c>
      <c r="G6" s="9" t="s">
        <v>69</v>
      </c>
      <c r="H6" s="9">
        <f>(2/3)*cc_s*((1+H5+H5^2)/(1+H5))</f>
        <v>0.1723647106410523</v>
      </c>
      <c r="J6" s="11">
        <f>J5+eta_c*TAN(RADIANS(lambda_c))</f>
        <v>0.45043676102463531</v>
      </c>
      <c r="K6" s="11">
        <f>K5+eta_c</f>
        <v>0.35</v>
      </c>
    </row>
    <row r="7" spans="1:19" ht="15.6">
      <c r="A7" s="6" t="s">
        <v>79</v>
      </c>
      <c r="B7" s="85">
        <f>1/(H4+H7)*((2/3*(cr_s+dcr_s)*(1+H2+H2^2)/(1+H2))*H4+((cc_s)*2/3*(1+H5+H5^2)/(1+H5))*H7)</f>
        <v>0.26170579169372066</v>
      </c>
      <c r="D7" s="62" t="s">
        <v>122</v>
      </c>
      <c r="E7" s="63">
        <f>DEGREES(ATAN(TAN(ACOS((M_shock/Mach)))-(cr_s/2)*(1-taper)))</f>
        <v>17.713943930342332</v>
      </c>
      <c r="F7">
        <f>RADIANS(lamTE)</f>
        <v>0.30916664509813874</v>
      </c>
      <c r="G7" s="9" t="s">
        <v>71</v>
      </c>
      <c r="H7" s="324">
        <f>(1-eta_c)*((cc_s+taper*cr_s)/(2*Span))*Span</f>
        <v>0.10125445174360906</v>
      </c>
      <c r="J7" s="11">
        <f>J4+TAN(RADIANS(lamTE))</f>
        <v>0.6580525361970383</v>
      </c>
      <c r="K7" s="11">
        <f>K5+1</f>
        <v>1</v>
      </c>
      <c r="L7" s="60">
        <f>DEGREES(ATAN($J$7-cr_s))</f>
        <v>17.713943930342332</v>
      </c>
    </row>
    <row r="8" spans="1:19" ht="15.6">
      <c r="A8" s="73" t="s">
        <v>120</v>
      </c>
      <c r="B8" s="85">
        <f>IF(MAC_s&gt;cc_s,eta_c*((MAC_s)-(cr_s+dcr_s))/(cc_s-(cr_s+dcr_s)),(((MAC_s-cc_s)/(taper*cr_s-cc_s))*(1-eta_c))+eta_c)</f>
        <v>0.3144369272595593</v>
      </c>
      <c r="D8" s="9" t="s">
        <v>74</v>
      </c>
      <c r="E8" s="11">
        <f>eta_c*(TAN(F7)-TAN(C5))</f>
        <v>8.1172077474143609E-2</v>
      </c>
      <c r="G8" s="2"/>
      <c r="H8" s="3"/>
      <c r="J8" s="11">
        <f>J7-cr_s*taper</f>
        <v>0.59032380593375466</v>
      </c>
      <c r="K8" s="11">
        <f>K7</f>
        <v>1</v>
      </c>
      <c r="L8" s="60">
        <f>DEGREES(ATAN($J$8))</f>
        <v>30.554365018964422</v>
      </c>
    </row>
    <row r="9" spans="1:19" ht="18" customHeight="1">
      <c r="D9" s="62" t="s">
        <v>102</v>
      </c>
      <c r="E9" s="3">
        <f>taper/(1+dcr_s/cr_s)</f>
        <v>0.16132966351308917</v>
      </c>
      <c r="J9" s="11">
        <f>J3</f>
        <v>0</v>
      </c>
      <c r="K9" s="11">
        <f>K3</f>
        <v>0</v>
      </c>
    </row>
    <row r="10" spans="1:19" ht="15.6">
      <c r="D10" s="9" t="s">
        <v>75</v>
      </c>
      <c r="E10" s="11">
        <f>cr_s*(1+eta_c*(taper-1))</f>
        <v>0.24382342894782114</v>
      </c>
    </row>
    <row r="11" spans="1:19">
      <c r="H11" s="325"/>
    </row>
  </sheetData>
  <customSheetViews>
    <customSheetView guid="{3FE7FC3F-F0F3-4173-9808-B52B3E7F8E83}" scale="80">
      <selection activeCell="F4" sqref="F4"/>
      <pageMargins left="0.7" right="0.7" top="0.75" bottom="0.75" header="0.3" footer="0.3"/>
    </customSheetView>
  </customSheetViews>
  <mergeCells count="3">
    <mergeCell ref="A1:B1"/>
    <mergeCell ref="C1:I1"/>
    <mergeCell ref="J1:S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O24"/>
  <sheetViews>
    <sheetView zoomScaleNormal="100" workbookViewId="0">
      <selection activeCell="Q10" sqref="Q10"/>
    </sheetView>
  </sheetViews>
  <sheetFormatPr defaultRowHeight="14.4"/>
  <cols>
    <col min="1" max="1" width="9.88671875" bestFit="1" customWidth="1"/>
  </cols>
  <sheetData>
    <row r="1" spans="1:15">
      <c r="B1" s="70" t="s">
        <v>95</v>
      </c>
      <c r="C1" s="70" t="s">
        <v>96</v>
      </c>
      <c r="E1" s="350" t="s">
        <v>195</v>
      </c>
      <c r="F1" s="350"/>
      <c r="G1" s="350"/>
      <c r="H1" s="350"/>
      <c r="I1" s="350"/>
      <c r="J1" s="350"/>
      <c r="K1" s="350"/>
      <c r="L1" s="350"/>
      <c r="M1" s="350"/>
      <c r="N1" s="350"/>
      <c r="O1" s="350"/>
    </row>
    <row r="2" spans="1:15">
      <c r="A2" s="7" t="s">
        <v>58</v>
      </c>
      <c r="B2">
        <v>0.73</v>
      </c>
      <c r="C2">
        <v>0.7</v>
      </c>
      <c r="F2" t="s">
        <v>173</v>
      </c>
      <c r="I2" t="s">
        <v>95</v>
      </c>
    </row>
    <row r="3" spans="1:15">
      <c r="A3" s="58" t="s">
        <v>21</v>
      </c>
      <c r="B3">
        <v>5</v>
      </c>
      <c r="C3">
        <v>3.25</v>
      </c>
      <c r="F3" s="61" t="s">
        <v>174</v>
      </c>
      <c r="G3" s="61" t="s">
        <v>175</v>
      </c>
      <c r="I3" s="61" t="s">
        <v>64</v>
      </c>
      <c r="J3" s="61" t="s">
        <v>63</v>
      </c>
    </row>
    <row r="4" spans="1:15" ht="16.2">
      <c r="A4" s="59" t="s">
        <v>59</v>
      </c>
      <c r="B4">
        <v>0.25</v>
      </c>
      <c r="C4">
        <v>0.2</v>
      </c>
      <c r="F4" s="11">
        <f>-Xnwb/Span*2</f>
        <v>-1.280711639508735</v>
      </c>
      <c r="G4" s="11">
        <v>0</v>
      </c>
      <c r="I4" s="11">
        <v>1.2277352830926205</v>
      </c>
      <c r="J4" s="11">
        <f>G4</f>
        <v>0</v>
      </c>
    </row>
    <row r="5" spans="1:15" ht="15.6">
      <c r="A5" s="58" t="s">
        <v>91</v>
      </c>
      <c r="B5" s="51">
        <f>Scissors!$B$36</f>
        <v>0.16596304768040235</v>
      </c>
      <c r="C5" s="51">
        <f>0.9*ST_S</f>
        <v>0.14936674291236213</v>
      </c>
      <c r="F5" s="11">
        <f>F4+G6/2</f>
        <v>-1.2046368580790467</v>
      </c>
      <c r="G5" s="11">
        <f>Dfuse/Span/2</f>
        <v>7.6074781429688251E-2</v>
      </c>
      <c r="I5" s="11">
        <f>I6-crt_s*taper_t*SQRT(ST_S)</f>
        <v>1.4788481359221042</v>
      </c>
      <c r="J5" s="11">
        <f>SQRT(ST_S)</f>
        <v>0.40738562527463135</v>
      </c>
    </row>
    <row r="6" spans="1:15" ht="15.6">
      <c r="A6" s="58" t="s">
        <v>94</v>
      </c>
      <c r="B6" s="51">
        <f>(Xtail-Xnwb)/Span*2</f>
        <v>1.5426753839537033</v>
      </c>
      <c r="C6" s="51">
        <f>B6-0.1</f>
        <v>1.4426753839537032</v>
      </c>
      <c r="F6" s="11">
        <f>F4+G6*1.6</f>
        <v>-1.0372723389337326</v>
      </c>
      <c r="G6" s="11">
        <f>Dfuse/Span</f>
        <v>0.1521495628593765</v>
      </c>
      <c r="I6" s="11">
        <f>I7+TAN(RADIANS(lamTE_t))*SQRT(ST_S)</f>
        <v>1.5440298359660451</v>
      </c>
      <c r="J6" s="11">
        <f>SQRT(ST_S)</f>
        <v>0.40738562527463135</v>
      </c>
    </row>
    <row r="7" spans="1:15">
      <c r="A7" s="73" t="s">
        <v>97</v>
      </c>
      <c r="B7" s="13">
        <f>B17-(Xac_s-'Wing Planform'!$J$5)-B6</f>
        <v>-9.8092457377019215E-5</v>
      </c>
      <c r="C7" s="13">
        <f>C17-(Xac_s-'Wing Planform'!$J$5)-C6</f>
        <v>0</v>
      </c>
      <c r="F7" s="11">
        <f>F8-4*G7</f>
        <v>1.0213983806645199</v>
      </c>
      <c r="G7" s="11">
        <f>G6</f>
        <v>0.1521495628593765</v>
      </c>
      <c r="I7" s="11">
        <f>I4+crt_s*SQRT(ST_S)</f>
        <v>1.4884620832683846</v>
      </c>
      <c r="J7" s="11">
        <f>J4</f>
        <v>0</v>
      </c>
      <c r="K7" s="61" t="s">
        <v>73</v>
      </c>
      <c r="L7" s="61" t="s">
        <v>72</v>
      </c>
    </row>
    <row r="8" spans="1:15">
      <c r="A8" s="73"/>
      <c r="B8" s="13"/>
      <c r="C8" s="13"/>
      <c r="F8" s="11">
        <f>F4+Lfuse/Span*2</f>
        <v>1.6299966321020261</v>
      </c>
      <c r="G8" s="11">
        <v>0</v>
      </c>
      <c r="I8" s="11">
        <f>I6</f>
        <v>1.5440298359660451</v>
      </c>
      <c r="J8" s="11">
        <f>J9</f>
        <v>-0.40738562527463135</v>
      </c>
      <c r="K8" s="11">
        <f>I4+eta_mac_t*TAN(RADIANS(lamLE_t))*SQRT(ST_S)</f>
        <v>1.328180424224414</v>
      </c>
      <c r="L8" s="11">
        <f>J4+eta_mac_t*SQRT(ST_S)</f>
        <v>0.16295425010985257</v>
      </c>
    </row>
    <row r="9" spans="1:15" ht="18" customHeight="1">
      <c r="A9" s="73"/>
      <c r="B9" s="13"/>
      <c r="C9" s="13"/>
      <c r="F9" s="11">
        <f>F7</f>
        <v>1.0213983806645199</v>
      </c>
      <c r="G9" s="11">
        <f>-G7</f>
        <v>-0.1521495628593765</v>
      </c>
      <c r="I9" s="11">
        <f>I5</f>
        <v>1.4788481359221042</v>
      </c>
      <c r="J9" s="11">
        <f>-J5</f>
        <v>-0.40738562527463135</v>
      </c>
      <c r="K9" s="11">
        <f>K8+MACt_s*SQRT(ST_S)</f>
        <v>1.5106891843474488</v>
      </c>
      <c r="L9" s="11">
        <f>L8</f>
        <v>0.16295425010985257</v>
      </c>
    </row>
    <row r="10" spans="1:15" ht="15.6">
      <c r="A10" s="15" t="s">
        <v>61</v>
      </c>
      <c r="B10" s="11">
        <f>SQRT(POWER(Mach/M_shock_t,2)-1)</f>
        <v>0.37640086750778334</v>
      </c>
      <c r="C10" s="11">
        <f>SQRT(POWER(Mach/M_shock_f,2)-1)</f>
        <v>0.49156144383100725</v>
      </c>
      <c r="F10" s="11">
        <f>F6</f>
        <v>-1.0372723389337326</v>
      </c>
      <c r="G10" s="11">
        <f>-G6</f>
        <v>-0.1521495628593765</v>
      </c>
      <c r="I10" s="11">
        <f>I4</f>
        <v>1.2277352830926205</v>
      </c>
      <c r="J10" s="11">
        <f>J4</f>
        <v>0</v>
      </c>
      <c r="K10" s="11">
        <f>$B$17</f>
        <v>1.3738076142551727</v>
      </c>
      <c r="L10" s="11">
        <f>L9</f>
        <v>0.16295425010985257</v>
      </c>
    </row>
    <row r="11" spans="1:15" ht="15.6">
      <c r="A11" s="2" t="s">
        <v>65</v>
      </c>
      <c r="B11" s="3">
        <f>4/AR_t/(1+taper_t)</f>
        <v>0.64</v>
      </c>
      <c r="C11" s="3">
        <f>4/AR_f/(1+taper_f)</f>
        <v>1.0256410256410258</v>
      </c>
      <c r="F11" s="11">
        <f>F5</f>
        <v>-1.2046368580790467</v>
      </c>
      <c r="G11" s="11">
        <f>-G5</f>
        <v>-7.6074781429688251E-2</v>
      </c>
    </row>
    <row r="12" spans="1:15" ht="15.6">
      <c r="A12" s="62" t="s">
        <v>66</v>
      </c>
      <c r="B12" s="63">
        <f>DEGREES(ATAN(tanL½_t+crt_s/2*(1-taper_t)))</f>
        <v>31.64971637684739</v>
      </c>
      <c r="C12" s="63">
        <f>DEGREES(ATAN(tanL½_f+crf_s/2*(1-taper_f)))</f>
        <v>42.044704910448495</v>
      </c>
      <c r="F12" s="11">
        <f>F4</f>
        <v>-1.280711639508735</v>
      </c>
      <c r="G12" s="11">
        <v>0</v>
      </c>
      <c r="I12" t="s">
        <v>96</v>
      </c>
    </row>
    <row r="13" spans="1:15" ht="15.6">
      <c r="A13" s="62" t="s">
        <v>67</v>
      </c>
      <c r="B13" s="63">
        <f>DEGREES(ATAN(tanL½_t-crt_s/2*(1-taper_t)))</f>
        <v>7.7672602528425481</v>
      </c>
      <c r="C13" s="63">
        <f>DEGREES(ATAN(tanL½_f-crf_s/2*(1-taper_f)))</f>
        <v>4.648210924055082</v>
      </c>
      <c r="I13" s="61" t="s">
        <v>64</v>
      </c>
      <c r="J13" s="61" t="s">
        <v>63</v>
      </c>
    </row>
    <row r="14" spans="1:15">
      <c r="F14" t="s">
        <v>176</v>
      </c>
      <c r="I14" s="11">
        <v>1.0700973971737873</v>
      </c>
      <c r="J14" s="11">
        <f>G4</f>
        <v>0</v>
      </c>
    </row>
    <row r="15" spans="1:15">
      <c r="A15" s="2" t="s">
        <v>79</v>
      </c>
      <c r="B15" s="53">
        <f>2/3*crt_s*(1+taper_t+taper_t*taper_t)/(1+taper_t)</f>
        <v>0.44799999999999995</v>
      </c>
      <c r="C15" s="53">
        <f>2/3*crf_s*(1+taper_f+taper_f*taper_f)/(1+taper_f)</f>
        <v>0.70655270655270652</v>
      </c>
      <c r="F15" s="61" t="s">
        <v>177</v>
      </c>
      <c r="G15" s="61" t="s">
        <v>178</v>
      </c>
      <c r="I15" s="11">
        <f>I14+crf_s*SQRT(SF_S)</f>
        <v>1.4664870777521546</v>
      </c>
      <c r="J15" s="11">
        <f>J14</f>
        <v>0</v>
      </c>
      <c r="K15" s="61" t="s">
        <v>73</v>
      </c>
      <c r="L15" s="61" t="s">
        <v>72</v>
      </c>
    </row>
    <row r="16" spans="1:15" ht="15.6">
      <c r="A16" s="64" t="s">
        <v>78</v>
      </c>
      <c r="B16" s="53">
        <f>(MACt_s/crt_s-1)/(taper_t-1)</f>
        <v>0.40000000000000008</v>
      </c>
      <c r="C16" s="53">
        <f>(MACf_s/crf_s-1)/(taper_f-1)</f>
        <v>0.38888888888888901</v>
      </c>
      <c r="F16" s="11">
        <f>'Wing Planform'!J5-Xac_s</f>
        <v>0.16876967724115355</v>
      </c>
      <c r="G16" s="11">
        <f>G4</f>
        <v>0</v>
      </c>
      <c r="I16" s="11">
        <f>I15+TAN(RADIANS(lamTE_f))*SQRT(SF_S)</f>
        <v>1.4979098421330013</v>
      </c>
      <c r="J16" s="11">
        <f>J15-SQRT(SF_S)</f>
        <v>-0.38647993856390805</v>
      </c>
      <c r="K16" s="11">
        <f>I14+eta_mac_f*TAN(RADIANS(lamLE_f))*SQRT(SF_S)</f>
        <v>1.2056385950573865</v>
      </c>
      <c r="L16" s="11">
        <f>J14-eta_mac_f*SQRT(SF_S)</f>
        <v>-0.15029775388596428</v>
      </c>
    </row>
    <row r="17" spans="1:12" ht="15.6">
      <c r="A17" s="2" t="s">
        <v>80</v>
      </c>
      <c r="B17" s="53">
        <f>$K$8+MACt_s/4*SQRT(ST_S)</f>
        <v>1.3738076142551727</v>
      </c>
      <c r="C17" s="53">
        <f>K16+MACf_s/4*SQRT(SF_S)</f>
        <v>1.2739057067125497</v>
      </c>
      <c r="F17" s="11">
        <f>'Wing Planform'!J6-Xac_s</f>
        <v>0.19939070947522697</v>
      </c>
      <c r="G17" s="11">
        <f>'Wing Planform'!K6</f>
        <v>0.35</v>
      </c>
      <c r="I17" s="11">
        <f>I16-crf_s*taper_f*SQRT(SF_S)</f>
        <v>1.4186319060173278</v>
      </c>
      <c r="J17" s="11">
        <f>J16</f>
        <v>-0.38647993856390805</v>
      </c>
      <c r="K17" s="11">
        <f>K16+MACf_s*SQRT(SF_S)</f>
        <v>1.4787070416780395</v>
      </c>
      <c r="L17" s="11">
        <f>L16</f>
        <v>-0.15029775388596428</v>
      </c>
    </row>
    <row r="18" spans="1:12">
      <c r="F18" s="11">
        <f>'Wing Planform'!J7-Xac_s</f>
        <v>0.40700648464762995</v>
      </c>
      <c r="G18" s="11">
        <f>'Wing Planform'!K7</f>
        <v>1</v>
      </c>
      <c r="I18" s="11">
        <f>I14</f>
        <v>1.0700973971737873</v>
      </c>
      <c r="J18" s="11">
        <f>J14</f>
        <v>0</v>
      </c>
      <c r="K18" s="11">
        <f>$C$17</f>
        <v>1.2739057067125497</v>
      </c>
      <c r="L18" s="11">
        <f>L17</f>
        <v>-0.15029775388596428</v>
      </c>
    </row>
    <row r="19" spans="1:12">
      <c r="A19" s="2" t="s">
        <v>98</v>
      </c>
      <c r="B19" s="56">
        <f>B6/MAC_s*ST_S</f>
        <v>0.97830126970260156</v>
      </c>
      <c r="C19" s="51">
        <f>C6/2*SF_S</f>
        <v>0.10774386159050306</v>
      </c>
      <c r="F19" s="11">
        <f>'Wing Planform'!J8-Xac_s</f>
        <v>0.33927775438434632</v>
      </c>
      <c r="G19" s="11">
        <f>'Wing Planform'!K8</f>
        <v>1</v>
      </c>
    </row>
    <row r="20" spans="1:12">
      <c r="F20" s="11">
        <f>'Wing Planform'!J9-Xac_s</f>
        <v>-0.25104605154940834</v>
      </c>
      <c r="G20" s="11">
        <f>'Wing Planform'!K9</f>
        <v>0</v>
      </c>
      <c r="L20" s="60"/>
    </row>
    <row r="21" spans="1:12">
      <c r="F21" s="11">
        <f>F19</f>
        <v>0.33927775438434632</v>
      </c>
      <c r="G21" s="11">
        <f>-G19</f>
        <v>-1</v>
      </c>
      <c r="H21" s="61" t="s">
        <v>73</v>
      </c>
      <c r="I21" s="61" t="s">
        <v>72</v>
      </c>
      <c r="L21" s="60"/>
    </row>
    <row r="22" spans="1:12">
      <c r="F22" s="11">
        <f>F18</f>
        <v>0.40700648464762995</v>
      </c>
      <c r="G22" s="11">
        <f>-G18</f>
        <v>-1</v>
      </c>
      <c r="H22" s="11">
        <f>F20+eta_mac*TAN(RADIANS(lamLE))</f>
        <v>-6.5426447923430164E-2</v>
      </c>
      <c r="I22" s="11">
        <f>G16+eta_mac</f>
        <v>0.3144369272595593</v>
      </c>
    </row>
    <row r="23" spans="1:12">
      <c r="F23" s="11">
        <f>F17</f>
        <v>0.19939070947522697</v>
      </c>
      <c r="G23" s="11">
        <f>-G17</f>
        <v>-0.35</v>
      </c>
      <c r="H23" s="11">
        <f>H22+MAC_s</f>
        <v>0.19627934377029049</v>
      </c>
      <c r="I23" s="11">
        <f>I22</f>
        <v>0.3144369272595593</v>
      </c>
    </row>
    <row r="24" spans="1:12">
      <c r="F24" s="11">
        <f>F16</f>
        <v>0.16876967724115355</v>
      </c>
      <c r="G24" s="11">
        <f>-G16</f>
        <v>0</v>
      </c>
      <c r="H24" s="11">
        <f>F20+Xac_s</f>
        <v>0</v>
      </c>
      <c r="I24" s="11">
        <f>I23</f>
        <v>0.3144369272595593</v>
      </c>
    </row>
  </sheetData>
  <customSheetViews>
    <customSheetView guid="{3FE7FC3F-F0F3-4173-9808-B52B3E7F8E83}" state="hidden">
      <selection activeCell="P16" sqref="P16"/>
      <pageMargins left="0.7" right="0.7" top="0.75" bottom="0.75" header="0.3" footer="0.3"/>
      <pageSetup paperSize="9" orientation="portrait" r:id="rId1"/>
    </customSheetView>
  </customSheetViews>
  <mergeCells count="1">
    <mergeCell ref="E1:O1"/>
  </mergeCells>
  <conditionalFormatting sqref="B7:C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AlignMAC" altText="Align MAC">
                <anchor moveWithCells="1">
                  <from>
                    <xdr:col>0</xdr:col>
                    <xdr:colOff>609600</xdr:colOff>
                    <xdr:row>7</xdr:row>
                    <xdr:rowOff>60960</xdr:rowOff>
                  </from>
                  <to>
                    <xdr:col>2</xdr:col>
                    <xdr:colOff>579120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M89"/>
  <sheetViews>
    <sheetView tabSelected="1" zoomScale="85" zoomScaleNormal="85" workbookViewId="0">
      <pane ySplit="2" topLeftCell="A27" activePane="bottomLeft" state="frozen"/>
      <selection pane="bottomLeft" activeCell="H13" sqref="H13"/>
    </sheetView>
  </sheetViews>
  <sheetFormatPr defaultRowHeight="13.8"/>
  <cols>
    <col min="1" max="1" width="25.109375" style="176" customWidth="1"/>
    <col min="2" max="2" width="9" style="176" customWidth="1"/>
    <col min="3" max="3" width="9" style="237" customWidth="1"/>
    <col min="4" max="7" width="12.44140625" style="176" customWidth="1"/>
    <col min="8" max="8" width="22.109375" style="176" customWidth="1"/>
    <col min="9" max="9" width="12.5546875" style="176" customWidth="1"/>
    <col min="10" max="10" width="9.44140625" style="177" customWidth="1"/>
    <col min="11" max="11" width="10.109375" style="178" bestFit="1" customWidth="1"/>
    <col min="12" max="12" width="9.6640625" style="176" customWidth="1"/>
    <col min="13" max="13" width="13.6640625" style="176" customWidth="1"/>
    <col min="14" max="255" width="8.88671875" style="176"/>
    <col min="256" max="256" width="25.109375" style="176" customWidth="1"/>
    <col min="257" max="257" width="9" style="176" customWidth="1"/>
    <col min="258" max="258" width="9.6640625" style="176" customWidth="1"/>
    <col min="259" max="259" width="9" style="176" customWidth="1"/>
    <col min="260" max="260" width="8.88671875" style="176"/>
    <col min="261" max="261" width="5.33203125" style="176" customWidth="1"/>
    <col min="262" max="265" width="8.88671875" style="176"/>
    <col min="266" max="266" width="9.44140625" style="176" customWidth="1"/>
    <col min="267" max="267" width="8.6640625" style="176" customWidth="1"/>
    <col min="268" max="268" width="9.6640625" style="176" customWidth="1"/>
    <col min="269" max="269" width="13.6640625" style="176" customWidth="1"/>
    <col min="270" max="511" width="8.88671875" style="176"/>
    <col min="512" max="512" width="25.109375" style="176" customWidth="1"/>
    <col min="513" max="513" width="9" style="176" customWidth="1"/>
    <col min="514" max="514" width="9.6640625" style="176" customWidth="1"/>
    <col min="515" max="515" width="9" style="176" customWidth="1"/>
    <col min="516" max="516" width="8.88671875" style="176"/>
    <col min="517" max="517" width="5.33203125" style="176" customWidth="1"/>
    <col min="518" max="521" width="8.88671875" style="176"/>
    <col min="522" max="522" width="9.44140625" style="176" customWidth="1"/>
    <col min="523" max="523" width="8.6640625" style="176" customWidth="1"/>
    <col min="524" max="524" width="9.6640625" style="176" customWidth="1"/>
    <col min="525" max="525" width="13.6640625" style="176" customWidth="1"/>
    <col min="526" max="767" width="8.88671875" style="176"/>
    <col min="768" max="768" width="25.109375" style="176" customWidth="1"/>
    <col min="769" max="769" width="9" style="176" customWidth="1"/>
    <col min="770" max="770" width="9.6640625" style="176" customWidth="1"/>
    <col min="771" max="771" width="9" style="176" customWidth="1"/>
    <col min="772" max="772" width="8.88671875" style="176"/>
    <col min="773" max="773" width="5.33203125" style="176" customWidth="1"/>
    <col min="774" max="777" width="8.88671875" style="176"/>
    <col min="778" max="778" width="9.44140625" style="176" customWidth="1"/>
    <col min="779" max="779" width="8.6640625" style="176" customWidth="1"/>
    <col min="780" max="780" width="9.6640625" style="176" customWidth="1"/>
    <col min="781" max="781" width="13.6640625" style="176" customWidth="1"/>
    <col min="782" max="1023" width="8.88671875" style="176"/>
    <col min="1024" max="1024" width="25.109375" style="176" customWidth="1"/>
    <col min="1025" max="1025" width="9" style="176" customWidth="1"/>
    <col min="1026" max="1026" width="9.6640625" style="176" customWidth="1"/>
    <col min="1027" max="1027" width="9" style="176" customWidth="1"/>
    <col min="1028" max="1028" width="8.88671875" style="176"/>
    <col min="1029" max="1029" width="5.33203125" style="176" customWidth="1"/>
    <col min="1030" max="1033" width="8.88671875" style="176"/>
    <col min="1034" max="1034" width="9.44140625" style="176" customWidth="1"/>
    <col min="1035" max="1035" width="8.6640625" style="176" customWidth="1"/>
    <col min="1036" max="1036" width="9.6640625" style="176" customWidth="1"/>
    <col min="1037" max="1037" width="13.6640625" style="176" customWidth="1"/>
    <col min="1038" max="1279" width="8.88671875" style="176"/>
    <col min="1280" max="1280" width="25.109375" style="176" customWidth="1"/>
    <col min="1281" max="1281" width="9" style="176" customWidth="1"/>
    <col min="1282" max="1282" width="9.6640625" style="176" customWidth="1"/>
    <col min="1283" max="1283" width="9" style="176" customWidth="1"/>
    <col min="1284" max="1284" width="8.88671875" style="176"/>
    <col min="1285" max="1285" width="5.33203125" style="176" customWidth="1"/>
    <col min="1286" max="1289" width="8.88671875" style="176"/>
    <col min="1290" max="1290" width="9.44140625" style="176" customWidth="1"/>
    <col min="1291" max="1291" width="8.6640625" style="176" customWidth="1"/>
    <col min="1292" max="1292" width="9.6640625" style="176" customWidth="1"/>
    <col min="1293" max="1293" width="13.6640625" style="176" customWidth="1"/>
    <col min="1294" max="1535" width="8.88671875" style="176"/>
    <col min="1536" max="1536" width="25.109375" style="176" customWidth="1"/>
    <col min="1537" max="1537" width="9" style="176" customWidth="1"/>
    <col min="1538" max="1538" width="9.6640625" style="176" customWidth="1"/>
    <col min="1539" max="1539" width="9" style="176" customWidth="1"/>
    <col min="1540" max="1540" width="8.88671875" style="176"/>
    <col min="1541" max="1541" width="5.33203125" style="176" customWidth="1"/>
    <col min="1542" max="1545" width="8.88671875" style="176"/>
    <col min="1546" max="1546" width="9.44140625" style="176" customWidth="1"/>
    <col min="1547" max="1547" width="8.6640625" style="176" customWidth="1"/>
    <col min="1548" max="1548" width="9.6640625" style="176" customWidth="1"/>
    <col min="1549" max="1549" width="13.6640625" style="176" customWidth="1"/>
    <col min="1550" max="1791" width="8.88671875" style="176"/>
    <col min="1792" max="1792" width="25.109375" style="176" customWidth="1"/>
    <col min="1793" max="1793" width="9" style="176" customWidth="1"/>
    <col min="1794" max="1794" width="9.6640625" style="176" customWidth="1"/>
    <col min="1795" max="1795" width="9" style="176" customWidth="1"/>
    <col min="1796" max="1796" width="8.88671875" style="176"/>
    <col min="1797" max="1797" width="5.33203125" style="176" customWidth="1"/>
    <col min="1798" max="1801" width="8.88671875" style="176"/>
    <col min="1802" max="1802" width="9.44140625" style="176" customWidth="1"/>
    <col min="1803" max="1803" width="8.6640625" style="176" customWidth="1"/>
    <col min="1804" max="1804" width="9.6640625" style="176" customWidth="1"/>
    <col min="1805" max="1805" width="13.6640625" style="176" customWidth="1"/>
    <col min="1806" max="2047" width="8.88671875" style="176"/>
    <col min="2048" max="2048" width="25.109375" style="176" customWidth="1"/>
    <col min="2049" max="2049" width="9" style="176" customWidth="1"/>
    <col min="2050" max="2050" width="9.6640625" style="176" customWidth="1"/>
    <col min="2051" max="2051" width="9" style="176" customWidth="1"/>
    <col min="2052" max="2052" width="8.88671875" style="176"/>
    <col min="2053" max="2053" width="5.33203125" style="176" customWidth="1"/>
    <col min="2054" max="2057" width="8.88671875" style="176"/>
    <col min="2058" max="2058" width="9.44140625" style="176" customWidth="1"/>
    <col min="2059" max="2059" width="8.6640625" style="176" customWidth="1"/>
    <col min="2060" max="2060" width="9.6640625" style="176" customWidth="1"/>
    <col min="2061" max="2061" width="13.6640625" style="176" customWidth="1"/>
    <col min="2062" max="2303" width="8.88671875" style="176"/>
    <col min="2304" max="2304" width="25.109375" style="176" customWidth="1"/>
    <col min="2305" max="2305" width="9" style="176" customWidth="1"/>
    <col min="2306" max="2306" width="9.6640625" style="176" customWidth="1"/>
    <col min="2307" max="2307" width="9" style="176" customWidth="1"/>
    <col min="2308" max="2308" width="8.88671875" style="176"/>
    <col min="2309" max="2309" width="5.33203125" style="176" customWidth="1"/>
    <col min="2310" max="2313" width="8.88671875" style="176"/>
    <col min="2314" max="2314" width="9.44140625" style="176" customWidth="1"/>
    <col min="2315" max="2315" width="8.6640625" style="176" customWidth="1"/>
    <col min="2316" max="2316" width="9.6640625" style="176" customWidth="1"/>
    <col min="2317" max="2317" width="13.6640625" style="176" customWidth="1"/>
    <col min="2318" max="2559" width="8.88671875" style="176"/>
    <col min="2560" max="2560" width="25.109375" style="176" customWidth="1"/>
    <col min="2561" max="2561" width="9" style="176" customWidth="1"/>
    <col min="2562" max="2562" width="9.6640625" style="176" customWidth="1"/>
    <col min="2563" max="2563" width="9" style="176" customWidth="1"/>
    <col min="2564" max="2564" width="8.88671875" style="176"/>
    <col min="2565" max="2565" width="5.33203125" style="176" customWidth="1"/>
    <col min="2566" max="2569" width="8.88671875" style="176"/>
    <col min="2570" max="2570" width="9.44140625" style="176" customWidth="1"/>
    <col min="2571" max="2571" width="8.6640625" style="176" customWidth="1"/>
    <col min="2572" max="2572" width="9.6640625" style="176" customWidth="1"/>
    <col min="2573" max="2573" width="13.6640625" style="176" customWidth="1"/>
    <col min="2574" max="2815" width="8.88671875" style="176"/>
    <col min="2816" max="2816" width="25.109375" style="176" customWidth="1"/>
    <col min="2817" max="2817" width="9" style="176" customWidth="1"/>
    <col min="2818" max="2818" width="9.6640625" style="176" customWidth="1"/>
    <col min="2819" max="2819" width="9" style="176" customWidth="1"/>
    <col min="2820" max="2820" width="8.88671875" style="176"/>
    <col min="2821" max="2821" width="5.33203125" style="176" customWidth="1"/>
    <col min="2822" max="2825" width="8.88671875" style="176"/>
    <col min="2826" max="2826" width="9.44140625" style="176" customWidth="1"/>
    <col min="2827" max="2827" width="8.6640625" style="176" customWidth="1"/>
    <col min="2828" max="2828" width="9.6640625" style="176" customWidth="1"/>
    <col min="2829" max="2829" width="13.6640625" style="176" customWidth="1"/>
    <col min="2830" max="3071" width="8.88671875" style="176"/>
    <col min="3072" max="3072" width="25.109375" style="176" customWidth="1"/>
    <col min="3073" max="3073" width="9" style="176" customWidth="1"/>
    <col min="3074" max="3074" width="9.6640625" style="176" customWidth="1"/>
    <col min="3075" max="3075" width="9" style="176" customWidth="1"/>
    <col min="3076" max="3076" width="8.88671875" style="176"/>
    <col min="3077" max="3077" width="5.33203125" style="176" customWidth="1"/>
    <col min="3078" max="3081" width="8.88671875" style="176"/>
    <col min="3082" max="3082" width="9.44140625" style="176" customWidth="1"/>
    <col min="3083" max="3083" width="8.6640625" style="176" customWidth="1"/>
    <col min="3084" max="3084" width="9.6640625" style="176" customWidth="1"/>
    <col min="3085" max="3085" width="13.6640625" style="176" customWidth="1"/>
    <col min="3086" max="3327" width="8.88671875" style="176"/>
    <col min="3328" max="3328" width="25.109375" style="176" customWidth="1"/>
    <col min="3329" max="3329" width="9" style="176" customWidth="1"/>
    <col min="3330" max="3330" width="9.6640625" style="176" customWidth="1"/>
    <col min="3331" max="3331" width="9" style="176" customWidth="1"/>
    <col min="3332" max="3332" width="8.88671875" style="176"/>
    <col min="3333" max="3333" width="5.33203125" style="176" customWidth="1"/>
    <col min="3334" max="3337" width="8.88671875" style="176"/>
    <col min="3338" max="3338" width="9.44140625" style="176" customWidth="1"/>
    <col min="3339" max="3339" width="8.6640625" style="176" customWidth="1"/>
    <col min="3340" max="3340" width="9.6640625" style="176" customWidth="1"/>
    <col min="3341" max="3341" width="13.6640625" style="176" customWidth="1"/>
    <col min="3342" max="3583" width="8.88671875" style="176"/>
    <col min="3584" max="3584" width="25.109375" style="176" customWidth="1"/>
    <col min="3585" max="3585" width="9" style="176" customWidth="1"/>
    <col min="3586" max="3586" width="9.6640625" style="176" customWidth="1"/>
    <col min="3587" max="3587" width="9" style="176" customWidth="1"/>
    <col min="3588" max="3588" width="8.88671875" style="176"/>
    <col min="3589" max="3589" width="5.33203125" style="176" customWidth="1"/>
    <col min="3590" max="3593" width="8.88671875" style="176"/>
    <col min="3594" max="3594" width="9.44140625" style="176" customWidth="1"/>
    <col min="3595" max="3595" width="8.6640625" style="176" customWidth="1"/>
    <col min="3596" max="3596" width="9.6640625" style="176" customWidth="1"/>
    <col min="3597" max="3597" width="13.6640625" style="176" customWidth="1"/>
    <col min="3598" max="3839" width="8.88671875" style="176"/>
    <col min="3840" max="3840" width="25.109375" style="176" customWidth="1"/>
    <col min="3841" max="3841" width="9" style="176" customWidth="1"/>
    <col min="3842" max="3842" width="9.6640625" style="176" customWidth="1"/>
    <col min="3843" max="3843" width="9" style="176" customWidth="1"/>
    <col min="3844" max="3844" width="8.88671875" style="176"/>
    <col min="3845" max="3845" width="5.33203125" style="176" customWidth="1"/>
    <col min="3846" max="3849" width="8.88671875" style="176"/>
    <col min="3850" max="3850" width="9.44140625" style="176" customWidth="1"/>
    <col min="3851" max="3851" width="8.6640625" style="176" customWidth="1"/>
    <col min="3852" max="3852" width="9.6640625" style="176" customWidth="1"/>
    <col min="3853" max="3853" width="13.6640625" style="176" customWidth="1"/>
    <col min="3854" max="4095" width="8.88671875" style="176"/>
    <col min="4096" max="4096" width="25.109375" style="176" customWidth="1"/>
    <col min="4097" max="4097" width="9" style="176" customWidth="1"/>
    <col min="4098" max="4098" width="9.6640625" style="176" customWidth="1"/>
    <col min="4099" max="4099" width="9" style="176" customWidth="1"/>
    <col min="4100" max="4100" width="8.88671875" style="176"/>
    <col min="4101" max="4101" width="5.33203125" style="176" customWidth="1"/>
    <col min="4102" max="4105" width="8.88671875" style="176"/>
    <col min="4106" max="4106" width="9.44140625" style="176" customWidth="1"/>
    <col min="4107" max="4107" width="8.6640625" style="176" customWidth="1"/>
    <col min="4108" max="4108" width="9.6640625" style="176" customWidth="1"/>
    <col min="4109" max="4109" width="13.6640625" style="176" customWidth="1"/>
    <col min="4110" max="4351" width="8.88671875" style="176"/>
    <col min="4352" max="4352" width="25.109375" style="176" customWidth="1"/>
    <col min="4353" max="4353" width="9" style="176" customWidth="1"/>
    <col min="4354" max="4354" width="9.6640625" style="176" customWidth="1"/>
    <col min="4355" max="4355" width="9" style="176" customWidth="1"/>
    <col min="4356" max="4356" width="8.88671875" style="176"/>
    <col min="4357" max="4357" width="5.33203125" style="176" customWidth="1"/>
    <col min="4358" max="4361" width="8.88671875" style="176"/>
    <col min="4362" max="4362" width="9.44140625" style="176" customWidth="1"/>
    <col min="4363" max="4363" width="8.6640625" style="176" customWidth="1"/>
    <col min="4364" max="4364" width="9.6640625" style="176" customWidth="1"/>
    <col min="4365" max="4365" width="13.6640625" style="176" customWidth="1"/>
    <col min="4366" max="4607" width="8.88671875" style="176"/>
    <col min="4608" max="4608" width="25.109375" style="176" customWidth="1"/>
    <col min="4609" max="4609" width="9" style="176" customWidth="1"/>
    <col min="4610" max="4610" width="9.6640625" style="176" customWidth="1"/>
    <col min="4611" max="4611" width="9" style="176" customWidth="1"/>
    <col min="4612" max="4612" width="8.88671875" style="176"/>
    <col min="4613" max="4613" width="5.33203125" style="176" customWidth="1"/>
    <col min="4614" max="4617" width="8.88671875" style="176"/>
    <col min="4618" max="4618" width="9.44140625" style="176" customWidth="1"/>
    <col min="4619" max="4619" width="8.6640625" style="176" customWidth="1"/>
    <col min="4620" max="4620" width="9.6640625" style="176" customWidth="1"/>
    <col min="4621" max="4621" width="13.6640625" style="176" customWidth="1"/>
    <col min="4622" max="4863" width="8.88671875" style="176"/>
    <col min="4864" max="4864" width="25.109375" style="176" customWidth="1"/>
    <col min="4865" max="4865" width="9" style="176" customWidth="1"/>
    <col min="4866" max="4866" width="9.6640625" style="176" customWidth="1"/>
    <col min="4867" max="4867" width="9" style="176" customWidth="1"/>
    <col min="4868" max="4868" width="8.88671875" style="176"/>
    <col min="4869" max="4869" width="5.33203125" style="176" customWidth="1"/>
    <col min="4870" max="4873" width="8.88671875" style="176"/>
    <col min="4874" max="4874" width="9.44140625" style="176" customWidth="1"/>
    <col min="4875" max="4875" width="8.6640625" style="176" customWidth="1"/>
    <col min="4876" max="4876" width="9.6640625" style="176" customWidth="1"/>
    <col min="4877" max="4877" width="13.6640625" style="176" customWidth="1"/>
    <col min="4878" max="5119" width="8.88671875" style="176"/>
    <col min="5120" max="5120" width="25.109375" style="176" customWidth="1"/>
    <col min="5121" max="5121" width="9" style="176" customWidth="1"/>
    <col min="5122" max="5122" width="9.6640625" style="176" customWidth="1"/>
    <col min="5123" max="5123" width="9" style="176" customWidth="1"/>
    <col min="5124" max="5124" width="8.88671875" style="176"/>
    <col min="5125" max="5125" width="5.33203125" style="176" customWidth="1"/>
    <col min="5126" max="5129" width="8.88671875" style="176"/>
    <col min="5130" max="5130" width="9.44140625" style="176" customWidth="1"/>
    <col min="5131" max="5131" width="8.6640625" style="176" customWidth="1"/>
    <col min="5132" max="5132" width="9.6640625" style="176" customWidth="1"/>
    <col min="5133" max="5133" width="13.6640625" style="176" customWidth="1"/>
    <col min="5134" max="5375" width="8.88671875" style="176"/>
    <col min="5376" max="5376" width="25.109375" style="176" customWidth="1"/>
    <col min="5377" max="5377" width="9" style="176" customWidth="1"/>
    <col min="5378" max="5378" width="9.6640625" style="176" customWidth="1"/>
    <col min="5379" max="5379" width="9" style="176" customWidth="1"/>
    <col min="5380" max="5380" width="8.88671875" style="176"/>
    <col min="5381" max="5381" width="5.33203125" style="176" customWidth="1"/>
    <col min="5382" max="5385" width="8.88671875" style="176"/>
    <col min="5386" max="5386" width="9.44140625" style="176" customWidth="1"/>
    <col min="5387" max="5387" width="8.6640625" style="176" customWidth="1"/>
    <col min="5388" max="5388" width="9.6640625" style="176" customWidth="1"/>
    <col min="5389" max="5389" width="13.6640625" style="176" customWidth="1"/>
    <col min="5390" max="5631" width="8.88671875" style="176"/>
    <col min="5632" max="5632" width="25.109375" style="176" customWidth="1"/>
    <col min="5633" max="5633" width="9" style="176" customWidth="1"/>
    <col min="5634" max="5634" width="9.6640625" style="176" customWidth="1"/>
    <col min="5635" max="5635" width="9" style="176" customWidth="1"/>
    <col min="5636" max="5636" width="8.88671875" style="176"/>
    <col min="5637" max="5637" width="5.33203125" style="176" customWidth="1"/>
    <col min="5638" max="5641" width="8.88671875" style="176"/>
    <col min="5642" max="5642" width="9.44140625" style="176" customWidth="1"/>
    <col min="5643" max="5643" width="8.6640625" style="176" customWidth="1"/>
    <col min="5644" max="5644" width="9.6640625" style="176" customWidth="1"/>
    <col min="5645" max="5645" width="13.6640625" style="176" customWidth="1"/>
    <col min="5646" max="5887" width="8.88671875" style="176"/>
    <col min="5888" max="5888" width="25.109375" style="176" customWidth="1"/>
    <col min="5889" max="5889" width="9" style="176" customWidth="1"/>
    <col min="5890" max="5890" width="9.6640625" style="176" customWidth="1"/>
    <col min="5891" max="5891" width="9" style="176" customWidth="1"/>
    <col min="5892" max="5892" width="8.88671875" style="176"/>
    <col min="5893" max="5893" width="5.33203125" style="176" customWidth="1"/>
    <col min="5894" max="5897" width="8.88671875" style="176"/>
    <col min="5898" max="5898" width="9.44140625" style="176" customWidth="1"/>
    <col min="5899" max="5899" width="8.6640625" style="176" customWidth="1"/>
    <col min="5900" max="5900" width="9.6640625" style="176" customWidth="1"/>
    <col min="5901" max="5901" width="13.6640625" style="176" customWidth="1"/>
    <col min="5902" max="6143" width="8.88671875" style="176"/>
    <col min="6144" max="6144" width="25.109375" style="176" customWidth="1"/>
    <col min="6145" max="6145" width="9" style="176" customWidth="1"/>
    <col min="6146" max="6146" width="9.6640625" style="176" customWidth="1"/>
    <col min="6147" max="6147" width="9" style="176" customWidth="1"/>
    <col min="6148" max="6148" width="8.88671875" style="176"/>
    <col min="6149" max="6149" width="5.33203125" style="176" customWidth="1"/>
    <col min="6150" max="6153" width="8.88671875" style="176"/>
    <col min="6154" max="6154" width="9.44140625" style="176" customWidth="1"/>
    <col min="6155" max="6155" width="8.6640625" style="176" customWidth="1"/>
    <col min="6156" max="6156" width="9.6640625" style="176" customWidth="1"/>
    <col min="6157" max="6157" width="13.6640625" style="176" customWidth="1"/>
    <col min="6158" max="6399" width="8.88671875" style="176"/>
    <col min="6400" max="6400" width="25.109375" style="176" customWidth="1"/>
    <col min="6401" max="6401" width="9" style="176" customWidth="1"/>
    <col min="6402" max="6402" width="9.6640625" style="176" customWidth="1"/>
    <col min="6403" max="6403" width="9" style="176" customWidth="1"/>
    <col min="6404" max="6404" width="8.88671875" style="176"/>
    <col min="6405" max="6405" width="5.33203125" style="176" customWidth="1"/>
    <col min="6406" max="6409" width="8.88671875" style="176"/>
    <col min="6410" max="6410" width="9.44140625" style="176" customWidth="1"/>
    <col min="6411" max="6411" width="8.6640625" style="176" customWidth="1"/>
    <col min="6412" max="6412" width="9.6640625" style="176" customWidth="1"/>
    <col min="6413" max="6413" width="13.6640625" style="176" customWidth="1"/>
    <col min="6414" max="6655" width="8.88671875" style="176"/>
    <col min="6656" max="6656" width="25.109375" style="176" customWidth="1"/>
    <col min="6657" max="6657" width="9" style="176" customWidth="1"/>
    <col min="6658" max="6658" width="9.6640625" style="176" customWidth="1"/>
    <col min="6659" max="6659" width="9" style="176" customWidth="1"/>
    <col min="6660" max="6660" width="8.88671875" style="176"/>
    <col min="6661" max="6661" width="5.33203125" style="176" customWidth="1"/>
    <col min="6662" max="6665" width="8.88671875" style="176"/>
    <col min="6666" max="6666" width="9.44140625" style="176" customWidth="1"/>
    <col min="6667" max="6667" width="8.6640625" style="176" customWidth="1"/>
    <col min="6668" max="6668" width="9.6640625" style="176" customWidth="1"/>
    <col min="6669" max="6669" width="13.6640625" style="176" customWidth="1"/>
    <col min="6670" max="6911" width="8.88671875" style="176"/>
    <col min="6912" max="6912" width="25.109375" style="176" customWidth="1"/>
    <col min="6913" max="6913" width="9" style="176" customWidth="1"/>
    <col min="6914" max="6914" width="9.6640625" style="176" customWidth="1"/>
    <col min="6915" max="6915" width="9" style="176" customWidth="1"/>
    <col min="6916" max="6916" width="8.88671875" style="176"/>
    <col min="6917" max="6917" width="5.33203125" style="176" customWidth="1"/>
    <col min="6918" max="6921" width="8.88671875" style="176"/>
    <col min="6922" max="6922" width="9.44140625" style="176" customWidth="1"/>
    <col min="6923" max="6923" width="8.6640625" style="176" customWidth="1"/>
    <col min="6924" max="6924" width="9.6640625" style="176" customWidth="1"/>
    <col min="6925" max="6925" width="13.6640625" style="176" customWidth="1"/>
    <col min="6926" max="7167" width="8.88671875" style="176"/>
    <col min="7168" max="7168" width="25.109375" style="176" customWidth="1"/>
    <col min="7169" max="7169" width="9" style="176" customWidth="1"/>
    <col min="7170" max="7170" width="9.6640625" style="176" customWidth="1"/>
    <col min="7171" max="7171" width="9" style="176" customWidth="1"/>
    <col min="7172" max="7172" width="8.88671875" style="176"/>
    <col min="7173" max="7173" width="5.33203125" style="176" customWidth="1"/>
    <col min="7174" max="7177" width="8.88671875" style="176"/>
    <col min="7178" max="7178" width="9.44140625" style="176" customWidth="1"/>
    <col min="7179" max="7179" width="8.6640625" style="176" customWidth="1"/>
    <col min="7180" max="7180" width="9.6640625" style="176" customWidth="1"/>
    <col min="7181" max="7181" width="13.6640625" style="176" customWidth="1"/>
    <col min="7182" max="7423" width="8.88671875" style="176"/>
    <col min="7424" max="7424" width="25.109375" style="176" customWidth="1"/>
    <col min="7425" max="7425" width="9" style="176" customWidth="1"/>
    <col min="7426" max="7426" width="9.6640625" style="176" customWidth="1"/>
    <col min="7427" max="7427" width="9" style="176" customWidth="1"/>
    <col min="7428" max="7428" width="8.88671875" style="176"/>
    <col min="7429" max="7429" width="5.33203125" style="176" customWidth="1"/>
    <col min="7430" max="7433" width="8.88671875" style="176"/>
    <col min="7434" max="7434" width="9.44140625" style="176" customWidth="1"/>
    <col min="7435" max="7435" width="8.6640625" style="176" customWidth="1"/>
    <col min="7436" max="7436" width="9.6640625" style="176" customWidth="1"/>
    <col min="7437" max="7437" width="13.6640625" style="176" customWidth="1"/>
    <col min="7438" max="7679" width="8.88671875" style="176"/>
    <col min="7680" max="7680" width="25.109375" style="176" customWidth="1"/>
    <col min="7681" max="7681" width="9" style="176" customWidth="1"/>
    <col min="7682" max="7682" width="9.6640625" style="176" customWidth="1"/>
    <col min="7683" max="7683" width="9" style="176" customWidth="1"/>
    <col min="7684" max="7684" width="8.88671875" style="176"/>
    <col min="7685" max="7685" width="5.33203125" style="176" customWidth="1"/>
    <col min="7686" max="7689" width="8.88671875" style="176"/>
    <col min="7690" max="7690" width="9.44140625" style="176" customWidth="1"/>
    <col min="7691" max="7691" width="8.6640625" style="176" customWidth="1"/>
    <col min="7692" max="7692" width="9.6640625" style="176" customWidth="1"/>
    <col min="7693" max="7693" width="13.6640625" style="176" customWidth="1"/>
    <col min="7694" max="7935" width="8.88671875" style="176"/>
    <col min="7936" max="7936" width="25.109375" style="176" customWidth="1"/>
    <col min="7937" max="7937" width="9" style="176" customWidth="1"/>
    <col min="7938" max="7938" width="9.6640625" style="176" customWidth="1"/>
    <col min="7939" max="7939" width="9" style="176" customWidth="1"/>
    <col min="7940" max="7940" width="8.88671875" style="176"/>
    <col min="7941" max="7941" width="5.33203125" style="176" customWidth="1"/>
    <col min="7942" max="7945" width="8.88671875" style="176"/>
    <col min="7946" max="7946" width="9.44140625" style="176" customWidth="1"/>
    <col min="7947" max="7947" width="8.6640625" style="176" customWidth="1"/>
    <col min="7948" max="7948" width="9.6640625" style="176" customWidth="1"/>
    <col min="7949" max="7949" width="13.6640625" style="176" customWidth="1"/>
    <col min="7950" max="8191" width="8.88671875" style="176"/>
    <col min="8192" max="8192" width="25.109375" style="176" customWidth="1"/>
    <col min="8193" max="8193" width="9" style="176" customWidth="1"/>
    <col min="8194" max="8194" width="9.6640625" style="176" customWidth="1"/>
    <col min="8195" max="8195" width="9" style="176" customWidth="1"/>
    <col min="8196" max="8196" width="8.88671875" style="176"/>
    <col min="8197" max="8197" width="5.33203125" style="176" customWidth="1"/>
    <col min="8198" max="8201" width="8.88671875" style="176"/>
    <col min="8202" max="8202" width="9.44140625" style="176" customWidth="1"/>
    <col min="8203" max="8203" width="8.6640625" style="176" customWidth="1"/>
    <col min="8204" max="8204" width="9.6640625" style="176" customWidth="1"/>
    <col min="8205" max="8205" width="13.6640625" style="176" customWidth="1"/>
    <col min="8206" max="8447" width="8.88671875" style="176"/>
    <col min="8448" max="8448" width="25.109375" style="176" customWidth="1"/>
    <col min="8449" max="8449" width="9" style="176" customWidth="1"/>
    <col min="8450" max="8450" width="9.6640625" style="176" customWidth="1"/>
    <col min="8451" max="8451" width="9" style="176" customWidth="1"/>
    <col min="8452" max="8452" width="8.88671875" style="176"/>
    <col min="8453" max="8453" width="5.33203125" style="176" customWidth="1"/>
    <col min="8454" max="8457" width="8.88671875" style="176"/>
    <col min="8458" max="8458" width="9.44140625" style="176" customWidth="1"/>
    <col min="8459" max="8459" width="8.6640625" style="176" customWidth="1"/>
    <col min="8460" max="8460" width="9.6640625" style="176" customWidth="1"/>
    <col min="8461" max="8461" width="13.6640625" style="176" customWidth="1"/>
    <col min="8462" max="8703" width="8.88671875" style="176"/>
    <col min="8704" max="8704" width="25.109375" style="176" customWidth="1"/>
    <col min="8705" max="8705" width="9" style="176" customWidth="1"/>
    <col min="8706" max="8706" width="9.6640625" style="176" customWidth="1"/>
    <col min="8707" max="8707" width="9" style="176" customWidth="1"/>
    <col min="8708" max="8708" width="8.88671875" style="176"/>
    <col min="8709" max="8709" width="5.33203125" style="176" customWidth="1"/>
    <col min="8710" max="8713" width="8.88671875" style="176"/>
    <col min="8714" max="8714" width="9.44140625" style="176" customWidth="1"/>
    <col min="8715" max="8715" width="8.6640625" style="176" customWidth="1"/>
    <col min="8716" max="8716" width="9.6640625" style="176" customWidth="1"/>
    <col min="8717" max="8717" width="13.6640625" style="176" customWidth="1"/>
    <col min="8718" max="8959" width="8.88671875" style="176"/>
    <col min="8960" max="8960" width="25.109375" style="176" customWidth="1"/>
    <col min="8961" max="8961" width="9" style="176" customWidth="1"/>
    <col min="8962" max="8962" width="9.6640625" style="176" customWidth="1"/>
    <col min="8963" max="8963" width="9" style="176" customWidth="1"/>
    <col min="8964" max="8964" width="8.88671875" style="176"/>
    <col min="8965" max="8965" width="5.33203125" style="176" customWidth="1"/>
    <col min="8966" max="8969" width="8.88671875" style="176"/>
    <col min="8970" max="8970" width="9.44140625" style="176" customWidth="1"/>
    <col min="8971" max="8971" width="8.6640625" style="176" customWidth="1"/>
    <col min="8972" max="8972" width="9.6640625" style="176" customWidth="1"/>
    <col min="8973" max="8973" width="13.6640625" style="176" customWidth="1"/>
    <col min="8974" max="9215" width="8.88671875" style="176"/>
    <col min="9216" max="9216" width="25.109375" style="176" customWidth="1"/>
    <col min="9217" max="9217" width="9" style="176" customWidth="1"/>
    <col min="9218" max="9218" width="9.6640625" style="176" customWidth="1"/>
    <col min="9219" max="9219" width="9" style="176" customWidth="1"/>
    <col min="9220" max="9220" width="8.88671875" style="176"/>
    <col min="9221" max="9221" width="5.33203125" style="176" customWidth="1"/>
    <col min="9222" max="9225" width="8.88671875" style="176"/>
    <col min="9226" max="9226" width="9.44140625" style="176" customWidth="1"/>
    <col min="9227" max="9227" width="8.6640625" style="176" customWidth="1"/>
    <col min="9228" max="9228" width="9.6640625" style="176" customWidth="1"/>
    <col min="9229" max="9229" width="13.6640625" style="176" customWidth="1"/>
    <col min="9230" max="9471" width="8.88671875" style="176"/>
    <col min="9472" max="9472" width="25.109375" style="176" customWidth="1"/>
    <col min="9473" max="9473" width="9" style="176" customWidth="1"/>
    <col min="9474" max="9474" width="9.6640625" style="176" customWidth="1"/>
    <col min="9475" max="9475" width="9" style="176" customWidth="1"/>
    <col min="9476" max="9476" width="8.88671875" style="176"/>
    <col min="9477" max="9477" width="5.33203125" style="176" customWidth="1"/>
    <col min="9478" max="9481" width="8.88671875" style="176"/>
    <col min="9482" max="9482" width="9.44140625" style="176" customWidth="1"/>
    <col min="9483" max="9483" width="8.6640625" style="176" customWidth="1"/>
    <col min="9484" max="9484" width="9.6640625" style="176" customWidth="1"/>
    <col min="9485" max="9485" width="13.6640625" style="176" customWidth="1"/>
    <col min="9486" max="9727" width="8.88671875" style="176"/>
    <col min="9728" max="9728" width="25.109375" style="176" customWidth="1"/>
    <col min="9729" max="9729" width="9" style="176" customWidth="1"/>
    <col min="9730" max="9730" width="9.6640625" style="176" customWidth="1"/>
    <col min="9731" max="9731" width="9" style="176" customWidth="1"/>
    <col min="9732" max="9732" width="8.88671875" style="176"/>
    <col min="9733" max="9733" width="5.33203125" style="176" customWidth="1"/>
    <col min="9734" max="9737" width="8.88671875" style="176"/>
    <col min="9738" max="9738" width="9.44140625" style="176" customWidth="1"/>
    <col min="9739" max="9739" width="8.6640625" style="176" customWidth="1"/>
    <col min="9740" max="9740" width="9.6640625" style="176" customWidth="1"/>
    <col min="9741" max="9741" width="13.6640625" style="176" customWidth="1"/>
    <col min="9742" max="9983" width="8.88671875" style="176"/>
    <col min="9984" max="9984" width="25.109375" style="176" customWidth="1"/>
    <col min="9985" max="9985" width="9" style="176" customWidth="1"/>
    <col min="9986" max="9986" width="9.6640625" style="176" customWidth="1"/>
    <col min="9987" max="9987" width="9" style="176" customWidth="1"/>
    <col min="9988" max="9988" width="8.88671875" style="176"/>
    <col min="9989" max="9989" width="5.33203125" style="176" customWidth="1"/>
    <col min="9990" max="9993" width="8.88671875" style="176"/>
    <col min="9994" max="9994" width="9.44140625" style="176" customWidth="1"/>
    <col min="9995" max="9995" width="8.6640625" style="176" customWidth="1"/>
    <col min="9996" max="9996" width="9.6640625" style="176" customWidth="1"/>
    <col min="9997" max="9997" width="13.6640625" style="176" customWidth="1"/>
    <col min="9998" max="10239" width="8.88671875" style="176"/>
    <col min="10240" max="10240" width="25.109375" style="176" customWidth="1"/>
    <col min="10241" max="10241" width="9" style="176" customWidth="1"/>
    <col min="10242" max="10242" width="9.6640625" style="176" customWidth="1"/>
    <col min="10243" max="10243" width="9" style="176" customWidth="1"/>
    <col min="10244" max="10244" width="8.88671875" style="176"/>
    <col min="10245" max="10245" width="5.33203125" style="176" customWidth="1"/>
    <col min="10246" max="10249" width="8.88671875" style="176"/>
    <col min="10250" max="10250" width="9.44140625" style="176" customWidth="1"/>
    <col min="10251" max="10251" width="8.6640625" style="176" customWidth="1"/>
    <col min="10252" max="10252" width="9.6640625" style="176" customWidth="1"/>
    <col min="10253" max="10253" width="13.6640625" style="176" customWidth="1"/>
    <col min="10254" max="10495" width="8.88671875" style="176"/>
    <col min="10496" max="10496" width="25.109375" style="176" customWidth="1"/>
    <col min="10497" max="10497" width="9" style="176" customWidth="1"/>
    <col min="10498" max="10498" width="9.6640625" style="176" customWidth="1"/>
    <col min="10499" max="10499" width="9" style="176" customWidth="1"/>
    <col min="10500" max="10500" width="8.88671875" style="176"/>
    <col min="10501" max="10501" width="5.33203125" style="176" customWidth="1"/>
    <col min="10502" max="10505" width="8.88671875" style="176"/>
    <col min="10506" max="10506" width="9.44140625" style="176" customWidth="1"/>
    <col min="10507" max="10507" width="8.6640625" style="176" customWidth="1"/>
    <col min="10508" max="10508" width="9.6640625" style="176" customWidth="1"/>
    <col min="10509" max="10509" width="13.6640625" style="176" customWidth="1"/>
    <col min="10510" max="10751" width="8.88671875" style="176"/>
    <col min="10752" max="10752" width="25.109375" style="176" customWidth="1"/>
    <col min="10753" max="10753" width="9" style="176" customWidth="1"/>
    <col min="10754" max="10754" width="9.6640625" style="176" customWidth="1"/>
    <col min="10755" max="10755" width="9" style="176" customWidth="1"/>
    <col min="10756" max="10756" width="8.88671875" style="176"/>
    <col min="10757" max="10757" width="5.33203125" style="176" customWidth="1"/>
    <col min="10758" max="10761" width="8.88671875" style="176"/>
    <col min="10762" max="10762" width="9.44140625" style="176" customWidth="1"/>
    <col min="10763" max="10763" width="8.6640625" style="176" customWidth="1"/>
    <col min="10764" max="10764" width="9.6640625" style="176" customWidth="1"/>
    <col min="10765" max="10765" width="13.6640625" style="176" customWidth="1"/>
    <col min="10766" max="11007" width="8.88671875" style="176"/>
    <col min="11008" max="11008" width="25.109375" style="176" customWidth="1"/>
    <col min="11009" max="11009" width="9" style="176" customWidth="1"/>
    <col min="11010" max="11010" width="9.6640625" style="176" customWidth="1"/>
    <col min="11011" max="11011" width="9" style="176" customWidth="1"/>
    <col min="11012" max="11012" width="8.88671875" style="176"/>
    <col min="11013" max="11013" width="5.33203125" style="176" customWidth="1"/>
    <col min="11014" max="11017" width="8.88671875" style="176"/>
    <col min="11018" max="11018" width="9.44140625" style="176" customWidth="1"/>
    <col min="11019" max="11019" width="8.6640625" style="176" customWidth="1"/>
    <col min="11020" max="11020" width="9.6640625" style="176" customWidth="1"/>
    <col min="11021" max="11021" width="13.6640625" style="176" customWidth="1"/>
    <col min="11022" max="11263" width="8.88671875" style="176"/>
    <col min="11264" max="11264" width="25.109375" style="176" customWidth="1"/>
    <col min="11265" max="11265" width="9" style="176" customWidth="1"/>
    <col min="11266" max="11266" width="9.6640625" style="176" customWidth="1"/>
    <col min="11267" max="11267" width="9" style="176" customWidth="1"/>
    <col min="11268" max="11268" width="8.88671875" style="176"/>
    <col min="11269" max="11269" width="5.33203125" style="176" customWidth="1"/>
    <col min="11270" max="11273" width="8.88671875" style="176"/>
    <col min="11274" max="11274" width="9.44140625" style="176" customWidth="1"/>
    <col min="11275" max="11275" width="8.6640625" style="176" customWidth="1"/>
    <col min="11276" max="11276" width="9.6640625" style="176" customWidth="1"/>
    <col min="11277" max="11277" width="13.6640625" style="176" customWidth="1"/>
    <col min="11278" max="11519" width="8.88671875" style="176"/>
    <col min="11520" max="11520" width="25.109375" style="176" customWidth="1"/>
    <col min="11521" max="11521" width="9" style="176" customWidth="1"/>
    <col min="11522" max="11522" width="9.6640625" style="176" customWidth="1"/>
    <col min="11523" max="11523" width="9" style="176" customWidth="1"/>
    <col min="11524" max="11524" width="8.88671875" style="176"/>
    <col min="11525" max="11525" width="5.33203125" style="176" customWidth="1"/>
    <col min="11526" max="11529" width="8.88671875" style="176"/>
    <col min="11530" max="11530" width="9.44140625" style="176" customWidth="1"/>
    <col min="11531" max="11531" width="8.6640625" style="176" customWidth="1"/>
    <col min="11532" max="11532" width="9.6640625" style="176" customWidth="1"/>
    <col min="11533" max="11533" width="13.6640625" style="176" customWidth="1"/>
    <col min="11534" max="11775" width="8.88671875" style="176"/>
    <col min="11776" max="11776" width="25.109375" style="176" customWidth="1"/>
    <col min="11777" max="11777" width="9" style="176" customWidth="1"/>
    <col min="11778" max="11778" width="9.6640625" style="176" customWidth="1"/>
    <col min="11779" max="11779" width="9" style="176" customWidth="1"/>
    <col min="11780" max="11780" width="8.88671875" style="176"/>
    <col min="11781" max="11781" width="5.33203125" style="176" customWidth="1"/>
    <col min="11782" max="11785" width="8.88671875" style="176"/>
    <col min="11786" max="11786" width="9.44140625" style="176" customWidth="1"/>
    <col min="11787" max="11787" width="8.6640625" style="176" customWidth="1"/>
    <col min="11788" max="11788" width="9.6640625" style="176" customWidth="1"/>
    <col min="11789" max="11789" width="13.6640625" style="176" customWidth="1"/>
    <col min="11790" max="12031" width="8.88671875" style="176"/>
    <col min="12032" max="12032" width="25.109375" style="176" customWidth="1"/>
    <col min="12033" max="12033" width="9" style="176" customWidth="1"/>
    <col min="12034" max="12034" width="9.6640625" style="176" customWidth="1"/>
    <col min="12035" max="12035" width="9" style="176" customWidth="1"/>
    <col min="12036" max="12036" width="8.88671875" style="176"/>
    <col min="12037" max="12037" width="5.33203125" style="176" customWidth="1"/>
    <col min="12038" max="12041" width="8.88671875" style="176"/>
    <col min="12042" max="12042" width="9.44140625" style="176" customWidth="1"/>
    <col min="12043" max="12043" width="8.6640625" style="176" customWidth="1"/>
    <col min="12044" max="12044" width="9.6640625" style="176" customWidth="1"/>
    <col min="12045" max="12045" width="13.6640625" style="176" customWidth="1"/>
    <col min="12046" max="12287" width="8.88671875" style="176"/>
    <col min="12288" max="12288" width="25.109375" style="176" customWidth="1"/>
    <col min="12289" max="12289" width="9" style="176" customWidth="1"/>
    <col min="12290" max="12290" width="9.6640625" style="176" customWidth="1"/>
    <col min="12291" max="12291" width="9" style="176" customWidth="1"/>
    <col min="12292" max="12292" width="8.88671875" style="176"/>
    <col min="12293" max="12293" width="5.33203125" style="176" customWidth="1"/>
    <col min="12294" max="12297" width="8.88671875" style="176"/>
    <col min="12298" max="12298" width="9.44140625" style="176" customWidth="1"/>
    <col min="12299" max="12299" width="8.6640625" style="176" customWidth="1"/>
    <col min="12300" max="12300" width="9.6640625" style="176" customWidth="1"/>
    <col min="12301" max="12301" width="13.6640625" style="176" customWidth="1"/>
    <col min="12302" max="12543" width="8.88671875" style="176"/>
    <col min="12544" max="12544" width="25.109375" style="176" customWidth="1"/>
    <col min="12545" max="12545" width="9" style="176" customWidth="1"/>
    <col min="12546" max="12546" width="9.6640625" style="176" customWidth="1"/>
    <col min="12547" max="12547" width="9" style="176" customWidth="1"/>
    <col min="12548" max="12548" width="8.88671875" style="176"/>
    <col min="12549" max="12549" width="5.33203125" style="176" customWidth="1"/>
    <col min="12550" max="12553" width="8.88671875" style="176"/>
    <col min="12554" max="12554" width="9.44140625" style="176" customWidth="1"/>
    <col min="12555" max="12555" width="8.6640625" style="176" customWidth="1"/>
    <col min="12556" max="12556" width="9.6640625" style="176" customWidth="1"/>
    <col min="12557" max="12557" width="13.6640625" style="176" customWidth="1"/>
    <col min="12558" max="12799" width="8.88671875" style="176"/>
    <col min="12800" max="12800" width="25.109375" style="176" customWidth="1"/>
    <col min="12801" max="12801" width="9" style="176" customWidth="1"/>
    <col min="12802" max="12802" width="9.6640625" style="176" customWidth="1"/>
    <col min="12803" max="12803" width="9" style="176" customWidth="1"/>
    <col min="12804" max="12804" width="8.88671875" style="176"/>
    <col min="12805" max="12805" width="5.33203125" style="176" customWidth="1"/>
    <col min="12806" max="12809" width="8.88671875" style="176"/>
    <col min="12810" max="12810" width="9.44140625" style="176" customWidth="1"/>
    <col min="12811" max="12811" width="8.6640625" style="176" customWidth="1"/>
    <col min="12812" max="12812" width="9.6640625" style="176" customWidth="1"/>
    <col min="12813" max="12813" width="13.6640625" style="176" customWidth="1"/>
    <col min="12814" max="13055" width="8.88671875" style="176"/>
    <col min="13056" max="13056" width="25.109375" style="176" customWidth="1"/>
    <col min="13057" max="13057" width="9" style="176" customWidth="1"/>
    <col min="13058" max="13058" width="9.6640625" style="176" customWidth="1"/>
    <col min="13059" max="13059" width="9" style="176" customWidth="1"/>
    <col min="13060" max="13060" width="8.88671875" style="176"/>
    <col min="13061" max="13061" width="5.33203125" style="176" customWidth="1"/>
    <col min="13062" max="13065" width="8.88671875" style="176"/>
    <col min="13066" max="13066" width="9.44140625" style="176" customWidth="1"/>
    <col min="13067" max="13067" width="8.6640625" style="176" customWidth="1"/>
    <col min="13068" max="13068" width="9.6640625" style="176" customWidth="1"/>
    <col min="13069" max="13069" width="13.6640625" style="176" customWidth="1"/>
    <col min="13070" max="13311" width="8.88671875" style="176"/>
    <col min="13312" max="13312" width="25.109375" style="176" customWidth="1"/>
    <col min="13313" max="13313" width="9" style="176" customWidth="1"/>
    <col min="13314" max="13314" width="9.6640625" style="176" customWidth="1"/>
    <col min="13315" max="13315" width="9" style="176" customWidth="1"/>
    <col min="13316" max="13316" width="8.88671875" style="176"/>
    <col min="13317" max="13317" width="5.33203125" style="176" customWidth="1"/>
    <col min="13318" max="13321" width="8.88671875" style="176"/>
    <col min="13322" max="13322" width="9.44140625" style="176" customWidth="1"/>
    <col min="13323" max="13323" width="8.6640625" style="176" customWidth="1"/>
    <col min="13324" max="13324" width="9.6640625" style="176" customWidth="1"/>
    <col min="13325" max="13325" width="13.6640625" style="176" customWidth="1"/>
    <col min="13326" max="13567" width="8.88671875" style="176"/>
    <col min="13568" max="13568" width="25.109375" style="176" customWidth="1"/>
    <col min="13569" max="13569" width="9" style="176" customWidth="1"/>
    <col min="13570" max="13570" width="9.6640625" style="176" customWidth="1"/>
    <col min="13571" max="13571" width="9" style="176" customWidth="1"/>
    <col min="13572" max="13572" width="8.88671875" style="176"/>
    <col min="13573" max="13573" width="5.33203125" style="176" customWidth="1"/>
    <col min="13574" max="13577" width="8.88671875" style="176"/>
    <col min="13578" max="13578" width="9.44140625" style="176" customWidth="1"/>
    <col min="13579" max="13579" width="8.6640625" style="176" customWidth="1"/>
    <col min="13580" max="13580" width="9.6640625" style="176" customWidth="1"/>
    <col min="13581" max="13581" width="13.6640625" style="176" customWidth="1"/>
    <col min="13582" max="13823" width="8.88671875" style="176"/>
    <col min="13824" max="13824" width="25.109375" style="176" customWidth="1"/>
    <col min="13825" max="13825" width="9" style="176" customWidth="1"/>
    <col min="13826" max="13826" width="9.6640625" style="176" customWidth="1"/>
    <col min="13827" max="13827" width="9" style="176" customWidth="1"/>
    <col min="13828" max="13828" width="8.88671875" style="176"/>
    <col min="13829" max="13829" width="5.33203125" style="176" customWidth="1"/>
    <col min="13830" max="13833" width="8.88671875" style="176"/>
    <col min="13834" max="13834" width="9.44140625" style="176" customWidth="1"/>
    <col min="13835" max="13835" width="8.6640625" style="176" customWidth="1"/>
    <col min="13836" max="13836" width="9.6640625" style="176" customWidth="1"/>
    <col min="13837" max="13837" width="13.6640625" style="176" customWidth="1"/>
    <col min="13838" max="14079" width="8.88671875" style="176"/>
    <col min="14080" max="14080" width="25.109375" style="176" customWidth="1"/>
    <col min="14081" max="14081" width="9" style="176" customWidth="1"/>
    <col min="14082" max="14082" width="9.6640625" style="176" customWidth="1"/>
    <col min="14083" max="14083" width="9" style="176" customWidth="1"/>
    <col min="14084" max="14084" width="8.88671875" style="176"/>
    <col min="14085" max="14085" width="5.33203125" style="176" customWidth="1"/>
    <col min="14086" max="14089" width="8.88671875" style="176"/>
    <col min="14090" max="14090" width="9.44140625" style="176" customWidth="1"/>
    <col min="14091" max="14091" width="8.6640625" style="176" customWidth="1"/>
    <col min="14092" max="14092" width="9.6640625" style="176" customWidth="1"/>
    <col min="14093" max="14093" width="13.6640625" style="176" customWidth="1"/>
    <col min="14094" max="14335" width="8.88671875" style="176"/>
    <col min="14336" max="14336" width="25.109375" style="176" customWidth="1"/>
    <col min="14337" max="14337" width="9" style="176" customWidth="1"/>
    <col min="14338" max="14338" width="9.6640625" style="176" customWidth="1"/>
    <col min="14339" max="14339" width="9" style="176" customWidth="1"/>
    <col min="14340" max="14340" width="8.88671875" style="176"/>
    <col min="14341" max="14341" width="5.33203125" style="176" customWidth="1"/>
    <col min="14342" max="14345" width="8.88671875" style="176"/>
    <col min="14346" max="14346" width="9.44140625" style="176" customWidth="1"/>
    <col min="14347" max="14347" width="8.6640625" style="176" customWidth="1"/>
    <col min="14348" max="14348" width="9.6640625" style="176" customWidth="1"/>
    <col min="14349" max="14349" width="13.6640625" style="176" customWidth="1"/>
    <col min="14350" max="14591" width="8.88671875" style="176"/>
    <col min="14592" max="14592" width="25.109375" style="176" customWidth="1"/>
    <col min="14593" max="14593" width="9" style="176" customWidth="1"/>
    <col min="14594" max="14594" width="9.6640625" style="176" customWidth="1"/>
    <col min="14595" max="14595" width="9" style="176" customWidth="1"/>
    <col min="14596" max="14596" width="8.88671875" style="176"/>
    <col min="14597" max="14597" width="5.33203125" style="176" customWidth="1"/>
    <col min="14598" max="14601" width="8.88671875" style="176"/>
    <col min="14602" max="14602" width="9.44140625" style="176" customWidth="1"/>
    <col min="14603" max="14603" width="8.6640625" style="176" customWidth="1"/>
    <col min="14604" max="14604" width="9.6640625" style="176" customWidth="1"/>
    <col min="14605" max="14605" width="13.6640625" style="176" customWidth="1"/>
    <col min="14606" max="14847" width="8.88671875" style="176"/>
    <col min="14848" max="14848" width="25.109375" style="176" customWidth="1"/>
    <col min="14849" max="14849" width="9" style="176" customWidth="1"/>
    <col min="14850" max="14850" width="9.6640625" style="176" customWidth="1"/>
    <col min="14851" max="14851" width="9" style="176" customWidth="1"/>
    <col min="14852" max="14852" width="8.88671875" style="176"/>
    <col min="14853" max="14853" width="5.33203125" style="176" customWidth="1"/>
    <col min="14854" max="14857" width="8.88671875" style="176"/>
    <col min="14858" max="14858" width="9.44140625" style="176" customWidth="1"/>
    <col min="14859" max="14859" width="8.6640625" style="176" customWidth="1"/>
    <col min="14860" max="14860" width="9.6640625" style="176" customWidth="1"/>
    <col min="14861" max="14861" width="13.6640625" style="176" customWidth="1"/>
    <col min="14862" max="15103" width="8.88671875" style="176"/>
    <col min="15104" max="15104" width="25.109375" style="176" customWidth="1"/>
    <col min="15105" max="15105" width="9" style="176" customWidth="1"/>
    <col min="15106" max="15106" width="9.6640625" style="176" customWidth="1"/>
    <col min="15107" max="15107" width="9" style="176" customWidth="1"/>
    <col min="15108" max="15108" width="8.88671875" style="176"/>
    <col min="15109" max="15109" width="5.33203125" style="176" customWidth="1"/>
    <col min="15110" max="15113" width="8.88671875" style="176"/>
    <col min="15114" max="15114" width="9.44140625" style="176" customWidth="1"/>
    <col min="15115" max="15115" width="8.6640625" style="176" customWidth="1"/>
    <col min="15116" max="15116" width="9.6640625" style="176" customWidth="1"/>
    <col min="15117" max="15117" width="13.6640625" style="176" customWidth="1"/>
    <col min="15118" max="15359" width="8.88671875" style="176"/>
    <col min="15360" max="15360" width="25.109375" style="176" customWidth="1"/>
    <col min="15361" max="15361" width="9" style="176" customWidth="1"/>
    <col min="15362" max="15362" width="9.6640625" style="176" customWidth="1"/>
    <col min="15363" max="15363" width="9" style="176" customWidth="1"/>
    <col min="15364" max="15364" width="8.88671875" style="176"/>
    <col min="15365" max="15365" width="5.33203125" style="176" customWidth="1"/>
    <col min="15366" max="15369" width="8.88671875" style="176"/>
    <col min="15370" max="15370" width="9.44140625" style="176" customWidth="1"/>
    <col min="15371" max="15371" width="8.6640625" style="176" customWidth="1"/>
    <col min="15372" max="15372" width="9.6640625" style="176" customWidth="1"/>
    <col min="15373" max="15373" width="13.6640625" style="176" customWidth="1"/>
    <col min="15374" max="15615" width="8.88671875" style="176"/>
    <col min="15616" max="15616" width="25.109375" style="176" customWidth="1"/>
    <col min="15617" max="15617" width="9" style="176" customWidth="1"/>
    <col min="15618" max="15618" width="9.6640625" style="176" customWidth="1"/>
    <col min="15619" max="15619" width="9" style="176" customWidth="1"/>
    <col min="15620" max="15620" width="8.88671875" style="176"/>
    <col min="15621" max="15621" width="5.33203125" style="176" customWidth="1"/>
    <col min="15622" max="15625" width="8.88671875" style="176"/>
    <col min="15626" max="15626" width="9.44140625" style="176" customWidth="1"/>
    <col min="15627" max="15627" width="8.6640625" style="176" customWidth="1"/>
    <col min="15628" max="15628" width="9.6640625" style="176" customWidth="1"/>
    <col min="15629" max="15629" width="13.6640625" style="176" customWidth="1"/>
    <col min="15630" max="15871" width="8.88671875" style="176"/>
    <col min="15872" max="15872" width="25.109375" style="176" customWidth="1"/>
    <col min="15873" max="15873" width="9" style="176" customWidth="1"/>
    <col min="15874" max="15874" width="9.6640625" style="176" customWidth="1"/>
    <col min="15875" max="15875" width="9" style="176" customWidth="1"/>
    <col min="15876" max="15876" width="8.88671875" style="176"/>
    <col min="15877" max="15877" width="5.33203125" style="176" customWidth="1"/>
    <col min="15878" max="15881" width="8.88671875" style="176"/>
    <col min="15882" max="15882" width="9.44140625" style="176" customWidth="1"/>
    <col min="15883" max="15883" width="8.6640625" style="176" customWidth="1"/>
    <col min="15884" max="15884" width="9.6640625" style="176" customWidth="1"/>
    <col min="15885" max="15885" width="13.6640625" style="176" customWidth="1"/>
    <col min="15886" max="16127" width="8.88671875" style="176"/>
    <col min="16128" max="16128" width="25.109375" style="176" customWidth="1"/>
    <col min="16129" max="16129" width="9" style="176" customWidth="1"/>
    <col min="16130" max="16130" width="9.6640625" style="176" customWidth="1"/>
    <col min="16131" max="16131" width="9" style="176" customWidth="1"/>
    <col min="16132" max="16132" width="8.88671875" style="176"/>
    <col min="16133" max="16133" width="5.33203125" style="176" customWidth="1"/>
    <col min="16134" max="16137" width="8.88671875" style="176"/>
    <col min="16138" max="16138" width="9.44140625" style="176" customWidth="1"/>
    <col min="16139" max="16139" width="8.6640625" style="176" customWidth="1"/>
    <col min="16140" max="16140" width="9.6640625" style="176" customWidth="1"/>
    <col min="16141" max="16141" width="13.6640625" style="176" customWidth="1"/>
    <col min="16142" max="16382" width="8.88671875" style="176"/>
    <col min="16383" max="16384" width="8.88671875" style="176" customWidth="1"/>
  </cols>
  <sheetData>
    <row r="1" spans="1:13" ht="15.6">
      <c r="A1" s="353" t="s">
        <v>260</v>
      </c>
      <c r="B1" s="353"/>
      <c r="C1" s="353"/>
      <c r="E1" s="353" t="s">
        <v>274</v>
      </c>
      <c r="F1" s="353"/>
      <c r="G1" s="353"/>
    </row>
    <row r="2" spans="1:13" s="181" customFormat="1" ht="38.25" customHeight="1">
      <c r="A2" s="179" t="s">
        <v>200</v>
      </c>
      <c r="B2" s="179" t="s">
        <v>201</v>
      </c>
      <c r="C2" s="180" t="s">
        <v>202</v>
      </c>
      <c r="D2" s="333" t="s">
        <v>263</v>
      </c>
      <c r="E2" s="179" t="s">
        <v>201</v>
      </c>
      <c r="F2" s="179" t="s">
        <v>261</v>
      </c>
      <c r="G2" s="179" t="s">
        <v>262</v>
      </c>
      <c r="I2" s="181" t="s">
        <v>396</v>
      </c>
      <c r="J2" s="182">
        <v>-0.02</v>
      </c>
      <c r="M2" s="183"/>
    </row>
    <row r="3" spans="1:13" ht="12.75" customHeight="1">
      <c r="A3" s="184" t="s">
        <v>176</v>
      </c>
      <c r="B3" s="184">
        <v>8600</v>
      </c>
      <c r="C3" s="328">
        <v>0.3773399308453565</v>
      </c>
      <c r="D3" s="185">
        <f t="shared" ref="D3:D9" si="0">MTOM/67134.35</f>
        <v>0.73474843392908584</v>
      </c>
      <c r="E3" s="331">
        <f t="shared" ref="E3:E9" si="1">B3*D3</f>
        <v>6318.836531790138</v>
      </c>
      <c r="F3" s="186">
        <v>0.44</v>
      </c>
      <c r="G3" s="187">
        <f>(F3*Lfuse-Xnwb)/MAC+0.25</f>
        <v>0.25</v>
      </c>
      <c r="J3" s="240"/>
      <c r="M3" s="188"/>
    </row>
    <row r="4" spans="1:13">
      <c r="A4" s="189" t="s">
        <v>203</v>
      </c>
      <c r="B4" s="189">
        <v>8150</v>
      </c>
      <c r="C4" s="329">
        <v>0.39665553833313505</v>
      </c>
      <c r="D4" s="191">
        <f t="shared" si="0"/>
        <v>0.73474843392908584</v>
      </c>
      <c r="E4" s="332">
        <f t="shared" si="1"/>
        <v>5988.1997365220495</v>
      </c>
      <c r="F4" s="193">
        <v>0.45</v>
      </c>
      <c r="G4" s="194">
        <f>(F4*Lfuse-Xnwb)/MAC+0.25</f>
        <v>0.36122062881272554</v>
      </c>
      <c r="J4" s="240"/>
      <c r="M4" s="188"/>
    </row>
    <row r="5" spans="1:13">
      <c r="A5" s="189" t="s">
        <v>204</v>
      </c>
      <c r="B5" s="189">
        <v>600</v>
      </c>
      <c r="C5" s="330"/>
      <c r="D5" s="191">
        <f t="shared" si="0"/>
        <v>0.73474843392908584</v>
      </c>
      <c r="E5" s="332">
        <f t="shared" si="1"/>
        <v>440.84906035745149</v>
      </c>
      <c r="F5" s="193">
        <f>Xtail/Lfuse</f>
        <v>0.96999999999999986</v>
      </c>
      <c r="G5" s="195"/>
      <c r="I5" s="196" t="s">
        <v>275</v>
      </c>
      <c r="J5" s="240"/>
      <c r="M5" s="188"/>
    </row>
    <row r="6" spans="1:13">
      <c r="A6" s="189" t="s">
        <v>205</v>
      </c>
      <c r="B6" s="189">
        <v>430</v>
      </c>
      <c r="C6" s="330"/>
      <c r="D6" s="191">
        <f t="shared" si="0"/>
        <v>0.73474843392908584</v>
      </c>
      <c r="E6" s="332">
        <f t="shared" si="1"/>
        <v>315.94182658950689</v>
      </c>
      <c r="F6" s="193">
        <v>0.96</v>
      </c>
      <c r="G6" s="195"/>
      <c r="I6" s="241" t="s">
        <v>126</v>
      </c>
      <c r="J6" s="240">
        <v>164</v>
      </c>
      <c r="M6" s="197">
        <f>Lfuse</f>
        <v>43.426400000000001</v>
      </c>
    </row>
    <row r="7" spans="1:13">
      <c r="A7" s="189" t="s">
        <v>206</v>
      </c>
      <c r="B7" s="189">
        <v>1950</v>
      </c>
      <c r="C7" s="330"/>
      <c r="D7" s="191">
        <f t="shared" si="0"/>
        <v>0.73474843392908584</v>
      </c>
      <c r="E7" s="332">
        <f t="shared" si="1"/>
        <v>1432.7594461617175</v>
      </c>
      <c r="F7" s="193">
        <v>0.45</v>
      </c>
      <c r="G7" s="195"/>
      <c r="I7" s="241" t="s">
        <v>151</v>
      </c>
      <c r="J7" s="240">
        <v>37.5</v>
      </c>
      <c r="M7" s="188"/>
    </row>
    <row r="8" spans="1:13">
      <c r="A8" s="189" t="s">
        <v>207</v>
      </c>
      <c r="B8" s="189">
        <v>325</v>
      </c>
      <c r="C8" s="330"/>
      <c r="D8" s="191">
        <f t="shared" si="0"/>
        <v>0.73474843392908584</v>
      </c>
      <c r="E8" s="332">
        <f t="shared" si="1"/>
        <v>238.7932410269529</v>
      </c>
      <c r="F8" s="193">
        <v>0.1</v>
      </c>
      <c r="G8" s="195"/>
      <c r="I8" s="241" t="s">
        <v>268</v>
      </c>
      <c r="J8" s="240">
        <v>3.95</v>
      </c>
      <c r="M8" s="188"/>
    </row>
    <row r="9" spans="1:13">
      <c r="A9" s="189" t="s">
        <v>208</v>
      </c>
      <c r="B9" s="189">
        <v>900</v>
      </c>
      <c r="C9" s="330"/>
      <c r="D9" s="335">
        <f t="shared" si="0"/>
        <v>0.73474843392908584</v>
      </c>
      <c r="E9" s="332">
        <f t="shared" si="1"/>
        <v>661.27359053617727</v>
      </c>
      <c r="F9" s="193">
        <v>0.42</v>
      </c>
      <c r="G9" s="195"/>
      <c r="I9" s="241" t="s">
        <v>269</v>
      </c>
      <c r="J9" s="240">
        <v>4.1935000000000002</v>
      </c>
      <c r="M9" s="188"/>
    </row>
    <row r="10" spans="1:13" ht="15">
      <c r="A10" s="198" t="s">
        <v>209</v>
      </c>
      <c r="B10" s="198">
        <v>20955</v>
      </c>
      <c r="C10" s="199">
        <v>0.53543714626694605</v>
      </c>
      <c r="D10" s="334"/>
      <c r="E10" s="201">
        <f>SUM(E3:E9)</f>
        <v>15396.653432983994</v>
      </c>
      <c r="F10" s="272">
        <f>(E3*F3+E4*F4+E5*F5+E6*F6+E7*F7+E8*F8+E9*F9)/E10</f>
        <v>0.46453352421856353</v>
      </c>
      <c r="G10" s="273">
        <f>IFERROR((F10*Lfuse-Xnwb)/MAC+0.25,"")</f>
        <v>0.52286339905808554</v>
      </c>
      <c r="I10" s="241" t="s">
        <v>397</v>
      </c>
      <c r="J10" s="240">
        <v>16.309999999999999</v>
      </c>
      <c r="M10" s="188"/>
    </row>
    <row r="11" spans="1:13">
      <c r="A11" s="189" t="s">
        <v>210</v>
      </c>
      <c r="B11" s="189">
        <v>6800</v>
      </c>
      <c r="C11" s="202"/>
      <c r="D11" s="203"/>
      <c r="E11" s="192">
        <f>B11*$D$15</f>
        <v>4996.2893507177841</v>
      </c>
      <c r="F11" s="193">
        <v>0.37</v>
      </c>
      <c r="G11" s="195"/>
      <c r="I11" s="241" t="s">
        <v>270</v>
      </c>
      <c r="J11" s="240">
        <v>123</v>
      </c>
      <c r="M11" s="197"/>
    </row>
    <row r="12" spans="1:13">
      <c r="A12" s="189" t="s">
        <v>211</v>
      </c>
      <c r="B12" s="189">
        <v>220</v>
      </c>
      <c r="C12" s="202"/>
      <c r="D12" s="203"/>
      <c r="E12" s="192">
        <f t="shared" ref="E12:E14" si="2">B12*$D$15</f>
        <v>161.64465546439888</v>
      </c>
      <c r="F12" s="193">
        <v>0.45</v>
      </c>
      <c r="G12" s="195"/>
      <c r="I12" s="241" t="s">
        <v>271</v>
      </c>
      <c r="J12" s="240">
        <v>31</v>
      </c>
      <c r="L12" s="177"/>
      <c r="M12" s="188"/>
    </row>
    <row r="13" spans="1:13">
      <c r="A13" s="189" t="s">
        <v>212</v>
      </c>
      <c r="B13" s="189">
        <v>20</v>
      </c>
      <c r="C13" s="202"/>
      <c r="D13" s="203"/>
      <c r="E13" s="192">
        <f t="shared" si="2"/>
        <v>14.694968678581716</v>
      </c>
      <c r="F13" s="193">
        <v>0.28999999999999998</v>
      </c>
      <c r="G13" s="195"/>
      <c r="I13" s="241" t="s">
        <v>272</v>
      </c>
      <c r="J13" s="240">
        <v>21.5</v>
      </c>
      <c r="M13" s="197"/>
    </row>
    <row r="14" spans="1:13" ht="12.75" customHeight="1">
      <c r="A14" s="189" t="s">
        <v>213</v>
      </c>
      <c r="B14" s="189">
        <v>250</v>
      </c>
      <c r="C14" s="202"/>
      <c r="D14" s="203"/>
      <c r="E14" s="192">
        <f t="shared" si="2"/>
        <v>183.68710848227147</v>
      </c>
      <c r="F14" s="193">
        <v>0.49</v>
      </c>
      <c r="G14" s="195"/>
      <c r="I14" s="241" t="s">
        <v>273</v>
      </c>
      <c r="J14" s="240">
        <v>186.82</v>
      </c>
      <c r="M14" s="188"/>
    </row>
    <row r="15" spans="1:13">
      <c r="A15" s="198" t="s">
        <v>214</v>
      </c>
      <c r="B15" s="198">
        <v>7290</v>
      </c>
      <c r="C15" s="199">
        <v>-0.37981101296130293</v>
      </c>
      <c r="D15" s="204">
        <f>MTOM/67134.35</f>
        <v>0.73474843392908584</v>
      </c>
      <c r="E15" s="201">
        <f>B15*D15</f>
        <v>5356.3160833430356</v>
      </c>
      <c r="F15" s="272">
        <f>(E11*F11+E12*F12+E13*F13+E14*F14)/E15</f>
        <v>0.37631001371742112</v>
      </c>
      <c r="G15" s="273">
        <f>IFERROR((F15*Lfuse-Xnwb)/MAC+0.25,"")</f>
        <v>-0.45836403234222445</v>
      </c>
      <c r="I15" s="241"/>
      <c r="J15" s="240"/>
      <c r="M15" s="188"/>
    </row>
    <row r="16" spans="1:13">
      <c r="A16" s="189" t="s">
        <v>215</v>
      </c>
      <c r="B16" s="189">
        <v>215</v>
      </c>
      <c r="C16" s="202"/>
      <c r="D16" s="203"/>
      <c r="E16" s="207"/>
      <c r="F16" s="238"/>
      <c r="G16" s="195"/>
      <c r="I16" s="241"/>
      <c r="J16" s="240"/>
      <c r="M16" s="188"/>
    </row>
    <row r="17" spans="1:13">
      <c r="A17" s="189" t="s">
        <v>216</v>
      </c>
      <c r="B17" s="189">
        <v>490</v>
      </c>
      <c r="C17" s="202"/>
      <c r="D17" s="203"/>
      <c r="E17" s="207"/>
      <c r="F17" s="238"/>
      <c r="G17" s="195"/>
      <c r="I17" s="241"/>
      <c r="J17" s="240"/>
      <c r="K17" s="205"/>
      <c r="L17" s="177"/>
      <c r="M17" s="188"/>
    </row>
    <row r="18" spans="1:13">
      <c r="A18" s="189" t="s">
        <v>217</v>
      </c>
      <c r="B18" s="189">
        <v>450</v>
      </c>
      <c r="C18" s="202"/>
      <c r="D18" s="203"/>
      <c r="E18" s="207"/>
      <c r="F18" s="238"/>
      <c r="G18" s="195"/>
      <c r="I18" s="241"/>
      <c r="J18" s="240"/>
      <c r="M18" s="197"/>
    </row>
    <row r="19" spans="1:13">
      <c r="A19" s="189" t="s">
        <v>218</v>
      </c>
      <c r="B19" s="189">
        <v>660</v>
      </c>
      <c r="C19" s="202"/>
      <c r="D19" s="203"/>
      <c r="E19" s="207"/>
      <c r="F19" s="238"/>
      <c r="G19" s="195"/>
      <c r="I19" s="241"/>
      <c r="J19" s="240"/>
      <c r="M19" s="188"/>
    </row>
    <row r="20" spans="1:13">
      <c r="A20" s="189" t="s">
        <v>219</v>
      </c>
      <c r="B20" s="189">
        <v>40</v>
      </c>
      <c r="C20" s="202"/>
      <c r="D20" s="203"/>
      <c r="E20" s="207"/>
      <c r="F20" s="238"/>
      <c r="G20" s="195"/>
      <c r="I20" s="241"/>
      <c r="J20" s="240"/>
      <c r="M20" s="188"/>
    </row>
    <row r="21" spans="1:13">
      <c r="A21" s="189" t="s">
        <v>220</v>
      </c>
      <c r="B21" s="189">
        <v>100</v>
      </c>
      <c r="C21" s="202"/>
      <c r="D21" s="203"/>
      <c r="E21" s="207"/>
      <c r="F21" s="238"/>
      <c r="G21" s="195"/>
      <c r="I21" s="241"/>
      <c r="J21" s="240"/>
      <c r="M21" s="188"/>
    </row>
    <row r="22" spans="1:13">
      <c r="A22" s="189" t="s">
        <v>221</v>
      </c>
      <c r="B22" s="189">
        <v>750</v>
      </c>
      <c r="C22" s="202"/>
      <c r="D22" s="203"/>
      <c r="E22" s="207"/>
      <c r="F22" s="238"/>
      <c r="G22" s="195"/>
      <c r="I22" s="241"/>
      <c r="J22" s="240"/>
      <c r="M22" s="188"/>
    </row>
    <row r="23" spans="1:13">
      <c r="A23" s="189" t="s">
        <v>222</v>
      </c>
      <c r="B23" s="189">
        <v>110</v>
      </c>
      <c r="C23" s="202"/>
      <c r="D23" s="203"/>
      <c r="E23" s="207"/>
      <c r="F23" s="238"/>
      <c r="G23" s="195"/>
      <c r="I23" s="241"/>
      <c r="J23" s="240"/>
      <c r="M23" s="188"/>
    </row>
    <row r="24" spans="1:13">
      <c r="A24" s="189" t="s">
        <v>223</v>
      </c>
      <c r="B24" s="189">
        <v>145</v>
      </c>
      <c r="C24" s="202"/>
      <c r="D24" s="203"/>
      <c r="E24" s="207"/>
      <c r="F24" s="238"/>
      <c r="G24" s="195"/>
      <c r="I24" s="241"/>
      <c r="J24" s="240"/>
      <c r="M24" s="188"/>
    </row>
    <row r="25" spans="1:13">
      <c r="A25" s="189" t="s">
        <v>224</v>
      </c>
      <c r="B25" s="189">
        <v>475</v>
      </c>
      <c r="C25" s="202"/>
      <c r="D25" s="203"/>
      <c r="E25" s="207"/>
      <c r="F25" s="238"/>
      <c r="G25" s="195"/>
      <c r="I25" s="241"/>
      <c r="J25" s="240"/>
      <c r="M25" s="188"/>
    </row>
    <row r="26" spans="1:13">
      <c r="A26" s="189" t="s">
        <v>225</v>
      </c>
      <c r="B26" s="189">
        <v>165</v>
      </c>
      <c r="C26" s="202"/>
      <c r="D26" s="203"/>
      <c r="E26" s="207"/>
      <c r="F26" s="238"/>
      <c r="G26" s="195"/>
      <c r="I26" s="241"/>
      <c r="J26" s="240"/>
      <c r="M26" s="188"/>
    </row>
    <row r="27" spans="1:13">
      <c r="A27" s="189" t="s">
        <v>226</v>
      </c>
      <c r="B27" s="189">
        <v>370</v>
      </c>
      <c r="C27" s="202"/>
      <c r="D27" s="203"/>
      <c r="E27" s="207"/>
      <c r="F27" s="238"/>
      <c r="G27" s="195"/>
      <c r="I27" s="241"/>
      <c r="J27" s="240"/>
      <c r="M27" s="188"/>
    </row>
    <row r="28" spans="1:13" ht="12.75" customHeight="1">
      <c r="A28" s="189" t="s">
        <v>227</v>
      </c>
      <c r="B28" s="189">
        <v>1150</v>
      </c>
      <c r="C28" s="202"/>
      <c r="D28" s="203"/>
      <c r="E28" s="207"/>
      <c r="F28" s="238"/>
      <c r="G28" s="195"/>
      <c r="I28" s="241"/>
      <c r="J28" s="240"/>
      <c r="M28" s="188"/>
    </row>
    <row r="29" spans="1:13" ht="12.75" customHeight="1">
      <c r="A29" s="198" t="s">
        <v>228</v>
      </c>
      <c r="B29" s="198">
        <v>5120</v>
      </c>
      <c r="C29" s="199">
        <v>-0.43311449266722257</v>
      </c>
      <c r="D29" s="204">
        <f>MTOM/67134.35</f>
        <v>0.73474843392908584</v>
      </c>
      <c r="E29" s="201">
        <f>B29*$D$29</f>
        <v>3761.9119817169194</v>
      </c>
      <c r="F29" s="277">
        <v>0.37</v>
      </c>
      <c r="G29" s="278">
        <f>IFERROR((F29*Lfuse-Xnwb)/MAC+0.25,"")</f>
        <v>-0.52854440168907413</v>
      </c>
      <c r="H29" s="239"/>
      <c r="I29" s="241"/>
      <c r="J29" s="240"/>
      <c r="M29" s="188"/>
    </row>
    <row r="30" spans="1:13" hidden="1">
      <c r="A30" s="189" t="s">
        <v>229</v>
      </c>
      <c r="B30" s="189">
        <v>1040</v>
      </c>
      <c r="C30" s="206"/>
      <c r="D30" s="203"/>
      <c r="E30" s="207"/>
      <c r="F30" s="274"/>
      <c r="G30" s="275"/>
      <c r="I30" s="241"/>
      <c r="J30" s="240"/>
      <c r="M30" s="188"/>
    </row>
    <row r="31" spans="1:13" hidden="1">
      <c r="A31" s="189" t="s">
        <v>230</v>
      </c>
      <c r="B31" s="189">
        <v>165</v>
      </c>
      <c r="C31" s="206"/>
      <c r="D31" s="203"/>
      <c r="E31" s="207"/>
      <c r="F31" s="274"/>
      <c r="G31" s="275"/>
      <c r="I31" s="241"/>
      <c r="J31" s="240"/>
      <c r="M31" s="188"/>
    </row>
    <row r="32" spans="1:13" hidden="1">
      <c r="A32" s="189" t="s">
        <v>231</v>
      </c>
      <c r="B32" s="189">
        <v>130</v>
      </c>
      <c r="C32" s="206"/>
      <c r="D32" s="203"/>
      <c r="E32" s="207"/>
      <c r="F32" s="274"/>
      <c r="G32" s="275"/>
      <c r="I32" s="241"/>
      <c r="J32" s="240"/>
      <c r="M32" s="188"/>
    </row>
    <row r="33" spans="1:13" hidden="1">
      <c r="A33" s="189" t="s">
        <v>232</v>
      </c>
      <c r="B33" s="189">
        <v>180</v>
      </c>
      <c r="C33" s="206"/>
      <c r="D33" s="203"/>
      <c r="E33" s="207"/>
      <c r="F33" s="274"/>
      <c r="G33" s="275"/>
      <c r="I33" s="241"/>
      <c r="J33" s="240"/>
      <c r="M33" s="188"/>
    </row>
    <row r="34" spans="1:13" hidden="1">
      <c r="A34" s="189" t="s">
        <v>233</v>
      </c>
      <c r="B34" s="189">
        <v>110</v>
      </c>
      <c r="C34" s="206"/>
      <c r="D34" s="203"/>
      <c r="E34" s="207"/>
      <c r="F34" s="274"/>
      <c r="G34" s="275"/>
      <c r="I34" s="241"/>
      <c r="J34" s="240"/>
      <c r="M34" s="188"/>
    </row>
    <row r="35" spans="1:13" hidden="1">
      <c r="A35" s="189" t="s">
        <v>234</v>
      </c>
      <c r="B35" s="189">
        <v>510</v>
      </c>
      <c r="C35" s="206"/>
      <c r="D35" s="203"/>
      <c r="E35" s="207"/>
      <c r="F35" s="274"/>
      <c r="G35" s="275"/>
      <c r="I35" s="241"/>
      <c r="J35" s="240"/>
      <c r="M35" s="188"/>
    </row>
    <row r="36" spans="1:13" hidden="1">
      <c r="A36" s="189" t="s">
        <v>235</v>
      </c>
      <c r="B36" s="189">
        <v>5</v>
      </c>
      <c r="C36" s="206"/>
      <c r="D36" s="203"/>
      <c r="E36" s="207"/>
      <c r="F36" s="274"/>
      <c r="G36" s="275"/>
      <c r="I36" s="241"/>
      <c r="J36" s="240"/>
    </row>
    <row r="37" spans="1:13" hidden="1">
      <c r="A37" s="189" t="s">
        <v>236</v>
      </c>
      <c r="B37" s="189">
        <v>275</v>
      </c>
      <c r="C37" s="206"/>
      <c r="D37" s="203"/>
      <c r="E37" s="207"/>
      <c r="F37" s="274"/>
      <c r="G37" s="275"/>
      <c r="I37" s="241"/>
      <c r="J37" s="240"/>
    </row>
    <row r="38" spans="1:13" hidden="1">
      <c r="A38" s="189" t="s">
        <v>237</v>
      </c>
      <c r="B38" s="189">
        <v>5</v>
      </c>
      <c r="C38" s="206"/>
      <c r="D38" s="203"/>
      <c r="E38" s="207"/>
      <c r="F38" s="274"/>
      <c r="G38" s="275"/>
      <c r="I38" s="241"/>
      <c r="J38" s="240"/>
    </row>
    <row r="39" spans="1:13" hidden="1">
      <c r="A39" s="189" t="s">
        <v>238</v>
      </c>
      <c r="B39" s="189">
        <v>145</v>
      </c>
      <c r="C39" s="206"/>
      <c r="D39" s="203"/>
      <c r="E39" s="207"/>
      <c r="F39" s="274"/>
      <c r="G39" s="275"/>
      <c r="I39" s="241"/>
      <c r="J39" s="240"/>
    </row>
    <row r="40" spans="1:13" ht="12.75" hidden="1" customHeight="1">
      <c r="A40" s="189" t="s">
        <v>239</v>
      </c>
      <c r="B40" s="189">
        <v>225</v>
      </c>
      <c r="C40" s="206"/>
      <c r="D40" s="203"/>
      <c r="E40" s="207"/>
      <c r="F40" s="274"/>
      <c r="G40" s="275"/>
      <c r="I40" s="241"/>
      <c r="J40" s="240"/>
    </row>
    <row r="41" spans="1:13" ht="12.75" hidden="1" customHeight="1">
      <c r="A41" s="189" t="s">
        <v>240</v>
      </c>
      <c r="B41" s="189">
        <v>90</v>
      </c>
      <c r="C41" s="206"/>
      <c r="D41" s="203"/>
      <c r="E41" s="207"/>
      <c r="F41" s="274"/>
      <c r="G41" s="275"/>
      <c r="I41" s="241"/>
      <c r="J41" s="240"/>
    </row>
    <row r="42" spans="1:13">
      <c r="A42" s="198" t="s">
        <v>241</v>
      </c>
      <c r="B42" s="198">
        <v>2880</v>
      </c>
      <c r="C42" s="199">
        <v>0.33346332949140972</v>
      </c>
      <c r="D42" s="204">
        <f>MTOM/67134.35</f>
        <v>0.73474843392908584</v>
      </c>
      <c r="E42" s="201">
        <f>B42*D42</f>
        <v>2116.0754897157672</v>
      </c>
      <c r="F42" s="273">
        <v>0.45</v>
      </c>
      <c r="G42" s="273">
        <f>IFERROR((F42*Lfuse-Xnwb)/MAC+0.25,"")</f>
        <v>0.36122062881272554</v>
      </c>
      <c r="I42" s="241"/>
      <c r="J42" s="240"/>
    </row>
    <row r="43" spans="1:13" ht="7.5" customHeight="1">
      <c r="A43" s="208"/>
      <c r="B43" s="208"/>
      <c r="C43" s="209"/>
      <c r="D43" s="210"/>
      <c r="E43" s="211"/>
      <c r="F43" s="208"/>
      <c r="G43" s="212"/>
      <c r="I43" s="241"/>
      <c r="J43" s="240"/>
    </row>
    <row r="44" spans="1:13">
      <c r="A44" s="267" t="s">
        <v>242</v>
      </c>
      <c r="B44" s="267">
        <v>36245</v>
      </c>
      <c r="C44" s="268">
        <v>0.19848506834087679</v>
      </c>
      <c r="D44" s="269"/>
      <c r="E44" s="270">
        <f>E10+E15+E29+E42</f>
        <v>26630.956987759717</v>
      </c>
      <c r="F44" s="271"/>
      <c r="G44" s="276">
        <f>IFERROR((E10*G10+E15*G15+E29*G29+E42*G42)/E44,"")</f>
        <v>0.16414117273610032</v>
      </c>
      <c r="I44" s="241"/>
      <c r="J44" s="240"/>
    </row>
    <row r="45" spans="1:13" ht="7.5" customHeight="1">
      <c r="A45" s="217"/>
      <c r="B45" s="217"/>
      <c r="C45" s="218"/>
      <c r="D45" s="219"/>
      <c r="E45" s="220"/>
      <c r="F45" s="217"/>
      <c r="G45" s="221"/>
      <c r="I45" s="241"/>
      <c r="J45" s="240"/>
    </row>
    <row r="46" spans="1:13" hidden="1">
      <c r="A46" s="189" t="s">
        <v>243</v>
      </c>
      <c r="B46" s="189">
        <v>75</v>
      </c>
      <c r="C46" s="206"/>
      <c r="D46" s="203"/>
      <c r="E46" s="192"/>
      <c r="F46" s="189"/>
      <c r="G46" s="194"/>
      <c r="I46" s="241"/>
      <c r="J46" s="240"/>
    </row>
    <row r="47" spans="1:13" ht="12.75" hidden="1" customHeight="1">
      <c r="A47" s="189" t="s">
        <v>244</v>
      </c>
      <c r="B47" s="189">
        <v>180</v>
      </c>
      <c r="C47" s="206"/>
      <c r="D47" s="203"/>
      <c r="E47" s="192"/>
      <c r="F47" s="189"/>
      <c r="G47" s="194"/>
      <c r="I47" s="241"/>
      <c r="J47" s="240"/>
    </row>
    <row r="48" spans="1:13" hidden="1">
      <c r="A48" s="189" t="s">
        <v>245</v>
      </c>
      <c r="B48" s="189">
        <v>1435</v>
      </c>
      <c r="C48" s="206"/>
      <c r="D48" s="203"/>
      <c r="E48" s="192"/>
      <c r="F48" s="189"/>
      <c r="G48" s="194"/>
      <c r="I48" s="241"/>
      <c r="J48" s="240"/>
    </row>
    <row r="49" spans="1:10" ht="13.5" hidden="1" customHeight="1">
      <c r="A49" s="189" t="s">
        <v>246</v>
      </c>
      <c r="B49" s="189">
        <v>220</v>
      </c>
      <c r="C49" s="206"/>
      <c r="D49" s="203"/>
      <c r="E49" s="192"/>
      <c r="F49" s="189"/>
      <c r="G49" s="194"/>
      <c r="I49" s="241"/>
      <c r="J49" s="240"/>
    </row>
    <row r="50" spans="1:10" hidden="1">
      <c r="A50" s="189" t="s">
        <v>247</v>
      </c>
      <c r="B50" s="189">
        <v>85</v>
      </c>
      <c r="C50" s="206"/>
      <c r="D50" s="203"/>
      <c r="E50" s="192"/>
      <c r="F50" s="189"/>
      <c r="G50" s="194"/>
      <c r="I50" s="241"/>
      <c r="J50" s="240"/>
    </row>
    <row r="51" spans="1:10" hidden="1">
      <c r="A51" s="189" t="s">
        <v>248</v>
      </c>
      <c r="B51" s="189">
        <v>30</v>
      </c>
      <c r="C51" s="206"/>
      <c r="D51" s="203"/>
      <c r="E51" s="192"/>
      <c r="F51" s="189"/>
      <c r="G51" s="194"/>
      <c r="I51" s="241"/>
      <c r="J51" s="240"/>
    </row>
    <row r="52" spans="1:10" ht="12.75" hidden="1" customHeight="1">
      <c r="A52" s="189" t="s">
        <v>249</v>
      </c>
      <c r="B52" s="189">
        <v>15</v>
      </c>
      <c r="C52" s="206"/>
      <c r="D52" s="203"/>
      <c r="E52" s="192"/>
      <c r="F52" s="189"/>
      <c r="G52" s="194"/>
      <c r="I52" s="241"/>
      <c r="J52" s="240"/>
    </row>
    <row r="53" spans="1:10" hidden="1">
      <c r="A53" s="189" t="s">
        <v>250</v>
      </c>
      <c r="B53" s="189">
        <v>80</v>
      </c>
      <c r="C53" s="206"/>
      <c r="D53" s="203"/>
      <c r="E53" s="192"/>
      <c r="F53" s="189"/>
      <c r="G53" s="194"/>
      <c r="I53" s="241"/>
      <c r="J53" s="240"/>
    </row>
    <row r="54" spans="1:10" hidden="1">
      <c r="A54" s="189" t="s">
        <v>251</v>
      </c>
      <c r="B54" s="189">
        <v>650</v>
      </c>
      <c r="C54" s="206"/>
      <c r="D54" s="203"/>
      <c r="E54" s="192"/>
      <c r="F54" s="189"/>
      <c r="G54" s="194"/>
      <c r="I54" s="241"/>
      <c r="J54" s="240"/>
    </row>
    <row r="55" spans="1:10" hidden="1">
      <c r="A55" s="189" t="s">
        <v>252</v>
      </c>
      <c r="B55" s="189">
        <v>460</v>
      </c>
      <c r="C55" s="206"/>
      <c r="D55" s="203"/>
      <c r="E55" s="192"/>
      <c r="F55" s="189"/>
      <c r="G55" s="194"/>
      <c r="I55" s="241"/>
      <c r="J55" s="240"/>
    </row>
    <row r="56" spans="1:10">
      <c r="A56" s="198" t="s">
        <v>253</v>
      </c>
      <c r="B56" s="198">
        <v>3230</v>
      </c>
      <c r="C56" s="199">
        <v>0.38244550297323593</v>
      </c>
      <c r="D56" s="204">
        <f>MTOM/67134.35</f>
        <v>0.73474843392908584</v>
      </c>
      <c r="E56" s="201">
        <f>B56*D56</f>
        <v>2373.2374415909471</v>
      </c>
      <c r="F56" s="273">
        <f>F4</f>
        <v>0.45</v>
      </c>
      <c r="G56" s="273">
        <f>IFERROR((F56*Lfuse-Xnwb)/MAC+0.25,"")</f>
        <v>0.36122062881272554</v>
      </c>
      <c r="I56" s="240" t="s">
        <v>276</v>
      </c>
      <c r="J56" s="243" t="s">
        <v>279</v>
      </c>
    </row>
    <row r="57" spans="1:10" ht="7.5" customHeight="1">
      <c r="A57" s="208"/>
      <c r="B57" s="208"/>
      <c r="C57" s="209"/>
      <c r="D57" s="210"/>
      <c r="E57" s="211"/>
      <c r="F57" s="208"/>
      <c r="G57" s="212"/>
      <c r="I57" s="240"/>
      <c r="J57" s="243"/>
    </row>
    <row r="58" spans="1:10">
      <c r="A58" s="213" t="s">
        <v>254</v>
      </c>
      <c r="B58" s="213">
        <v>39475</v>
      </c>
      <c r="C58" s="206">
        <v>0.2134755770054273</v>
      </c>
      <c r="D58" s="214"/>
      <c r="E58" s="215">
        <f>E44+E56</f>
        <v>29004.194429350664</v>
      </c>
      <c r="F58" s="216"/>
      <c r="G58" s="246">
        <f>IFERROR((E44*G44+E56*G56)/E58,"")</f>
        <v>0.18026699016808256</v>
      </c>
      <c r="I58" s="242">
        <f>'Inputs &amp; Sizing Chart'!P8</f>
        <v>27069.173074977632</v>
      </c>
      <c r="J58" s="244">
        <f>E58-I58</f>
        <v>1935.0213543730315</v>
      </c>
    </row>
    <row r="59" spans="1:10" ht="7.5" customHeight="1">
      <c r="A59" s="217"/>
      <c r="B59" s="217"/>
      <c r="C59" s="218"/>
      <c r="D59" s="219"/>
      <c r="E59" s="220"/>
      <c r="F59" s="217"/>
      <c r="G59" s="221"/>
      <c r="I59" s="240"/>
      <c r="J59" s="243"/>
    </row>
    <row r="60" spans="1:10" ht="12.75" customHeight="1">
      <c r="A60" s="189" t="s">
        <v>277</v>
      </c>
      <c r="B60" s="189">
        <v>12300</v>
      </c>
      <c r="C60" s="190">
        <v>0.47506376011655665</v>
      </c>
      <c r="D60" s="203"/>
      <c r="E60" s="192">
        <f>'Inputs &amp; Sizing Chart'!X11</f>
        <v>12078.5</v>
      </c>
      <c r="F60" s="336">
        <v>0.46</v>
      </c>
      <c r="G60" s="195">
        <f>IFERROR((F60*Lfuse-Xnwb)/MAC+0.25,"")</f>
        <v>0.47244125762545014</v>
      </c>
      <c r="I60" s="240"/>
      <c r="J60" s="243"/>
    </row>
    <row r="61" spans="1:10">
      <c r="A61" s="189" t="s">
        <v>255</v>
      </c>
      <c r="B61" s="189">
        <v>1640</v>
      </c>
      <c r="C61" s="190">
        <v>-1.0245916299034217</v>
      </c>
      <c r="D61" s="203"/>
      <c r="E61" s="192">
        <f>'Inputs &amp; Sizing Chart'!X12/2</f>
        <v>1255</v>
      </c>
      <c r="F61" s="336">
        <v>0.3</v>
      </c>
      <c r="G61" s="195">
        <f>IFERROR((F61*Lfuse-Xnwb)/MAC+0.25,"")</f>
        <v>-1.3070888033781487</v>
      </c>
      <c r="I61" s="240"/>
      <c r="J61" s="243"/>
    </row>
    <row r="62" spans="1:10">
      <c r="A62" s="189" t="s">
        <v>256</v>
      </c>
      <c r="B62" s="189">
        <v>1640</v>
      </c>
      <c r="C62" s="190">
        <v>1.0951174436628115</v>
      </c>
      <c r="D62" s="203"/>
      <c r="E62" s="192">
        <f>E61</f>
        <v>1255</v>
      </c>
      <c r="F62" s="336">
        <v>0.55000000000000004</v>
      </c>
      <c r="G62" s="195">
        <f>IFERROR((F62*Lfuse-Xnwb)/MAC+0.25,"")</f>
        <v>1.4734269169399745</v>
      </c>
      <c r="I62" s="240"/>
      <c r="J62" s="245"/>
    </row>
    <row r="63" spans="1:10">
      <c r="A63" s="198" t="s">
        <v>257</v>
      </c>
      <c r="B63" s="198">
        <v>15580</v>
      </c>
      <c r="C63" s="199">
        <v>0.38247410680353289</v>
      </c>
      <c r="D63" s="200"/>
      <c r="E63" s="201">
        <f>SUM(E60:E62)</f>
        <v>14588.5</v>
      </c>
      <c r="F63" s="277">
        <f>(E60*F60+E61*F61+E62*F62)/E63</f>
        <v>0.45397813346128801</v>
      </c>
      <c r="G63" s="278">
        <f>IFERROR((F63*Lfuse-Xnwb)/MAC+0.25,"")</f>
        <v>0.40546567931926425</v>
      </c>
      <c r="I63" s="242">
        <f>Payload</f>
        <v>15283.552</v>
      </c>
      <c r="J63" s="244">
        <f>E63-I63</f>
        <v>-695.05199999999968</v>
      </c>
    </row>
    <row r="64" spans="1:10" ht="12.75" customHeight="1">
      <c r="A64" s="222" t="s">
        <v>267</v>
      </c>
      <c r="B64" s="223">
        <f>B63/J6</f>
        <v>95</v>
      </c>
      <c r="C64" s="224"/>
      <c r="D64" s="225"/>
      <c r="E64" s="226"/>
      <c r="F64" s="227"/>
      <c r="G64" s="228"/>
      <c r="I64" s="242" t="str">
        <f>'Inputs &amp; Sizing Chart'!Q4</f>
        <v xml:space="preserve">Avarage mass per person including luggage </v>
      </c>
      <c r="J64" s="244" t="e">
        <f>E64-I64</f>
        <v>#VALUE!</v>
      </c>
    </row>
    <row r="65" spans="1:10" ht="7.5" customHeight="1">
      <c r="A65" s="208"/>
      <c r="B65" s="208"/>
      <c r="C65" s="209"/>
      <c r="D65" s="210"/>
      <c r="E65" s="211"/>
      <c r="F65" s="208"/>
      <c r="G65" s="212"/>
      <c r="I65" s="240"/>
      <c r="J65" s="243"/>
    </row>
    <row r="66" spans="1:10" ht="12.75" customHeight="1">
      <c r="A66" s="267" t="s">
        <v>258</v>
      </c>
      <c r="B66" s="267">
        <v>55055</v>
      </c>
      <c r="C66" s="268">
        <v>0.26130042659682673</v>
      </c>
      <c r="D66" s="269"/>
      <c r="E66" s="270">
        <f>E58+E63</f>
        <v>43592.694429350668</v>
      </c>
      <c r="F66" s="271"/>
      <c r="G66" s="276">
        <f>IFERROR((E58*G58+E63*G63)/E66,"")</f>
        <v>0.25563078953144647</v>
      </c>
      <c r="I66" s="240"/>
      <c r="J66" s="243"/>
    </row>
    <row r="67" spans="1:10" ht="7.5" customHeight="1">
      <c r="A67" s="217"/>
      <c r="B67" s="217"/>
      <c r="C67" s="218"/>
      <c r="D67" s="219"/>
      <c r="E67" s="220"/>
      <c r="F67" s="217"/>
      <c r="G67" s="221"/>
      <c r="I67" s="240"/>
      <c r="J67" s="243"/>
    </row>
    <row r="68" spans="1:10">
      <c r="A68" s="198" t="s">
        <v>398</v>
      </c>
      <c r="B68" s="198">
        <v>12045</v>
      </c>
      <c r="C68" s="199">
        <v>0.21602625976677053</v>
      </c>
      <c r="D68" s="200"/>
      <c r="E68" s="201">
        <f>'Inputs &amp; Sizing Chart'!P9</f>
        <v>6974.1334503694998</v>
      </c>
      <c r="F68" s="229"/>
      <c r="G68" s="273">
        <f>C68</f>
        <v>0.21602625976677053</v>
      </c>
      <c r="I68" s="240"/>
      <c r="J68" s="243"/>
    </row>
    <row r="69" spans="1:10" ht="7.5" customHeight="1">
      <c r="A69" s="208"/>
      <c r="B69" s="230"/>
      <c r="C69" s="209"/>
      <c r="D69" s="231"/>
      <c r="E69" s="232"/>
      <c r="F69" s="230"/>
      <c r="G69" s="233"/>
      <c r="I69" s="240"/>
      <c r="J69" s="243"/>
    </row>
    <row r="70" spans="1:10">
      <c r="A70" s="213" t="s">
        <v>259</v>
      </c>
      <c r="B70" s="213">
        <v>67100</v>
      </c>
      <c r="C70" s="206">
        <v>0.25317334255110419</v>
      </c>
      <c r="D70" s="214"/>
      <c r="E70" s="215">
        <f>E66+E68</f>
        <v>50566.827879720164</v>
      </c>
      <c r="F70" s="216"/>
      <c r="G70" s="246">
        <f>IFERROR((E66*G66+E68*G68)/E70,"")</f>
        <v>0.25016856681747723</v>
      </c>
      <c r="I70" s="242">
        <f>MTOM</f>
        <v>49326.858525347132</v>
      </c>
      <c r="J70" s="244">
        <f>E70-I70</f>
        <v>1239.9693543730318</v>
      </c>
    </row>
    <row r="71" spans="1:10" ht="7.5" customHeight="1">
      <c r="A71" s="234"/>
      <c r="B71" s="235"/>
      <c r="C71" s="218"/>
      <c r="D71" s="235"/>
      <c r="E71" s="235"/>
      <c r="F71" s="235"/>
      <c r="G71" s="236"/>
    </row>
    <row r="75" spans="1:10" ht="14.25" customHeight="1">
      <c r="A75" s="351"/>
      <c r="B75" s="351"/>
      <c r="D75" s="351"/>
      <c r="E75" s="351"/>
      <c r="F75" s="351"/>
      <c r="G75" s="351"/>
    </row>
    <row r="76" spans="1:10" ht="13.5" customHeight="1">
      <c r="A76" s="352"/>
      <c r="B76" s="352"/>
      <c r="D76" s="352"/>
      <c r="E76" s="352"/>
      <c r="F76" s="352"/>
      <c r="G76" s="352"/>
    </row>
    <row r="83" spans="1:7" ht="12.75" customHeight="1"/>
    <row r="89" spans="1:7">
      <c r="A89" s="177"/>
      <c r="B89" s="177"/>
      <c r="D89" s="177"/>
      <c r="E89" s="177"/>
      <c r="F89" s="177"/>
      <c r="G89" s="177"/>
    </row>
  </sheetData>
  <mergeCells count="8">
    <mergeCell ref="G75:G76"/>
    <mergeCell ref="D75:D76"/>
    <mergeCell ref="E1:G1"/>
    <mergeCell ref="A75:A76"/>
    <mergeCell ref="B75:B76"/>
    <mergeCell ref="A1:C1"/>
    <mergeCell ref="E75:E76"/>
    <mergeCell ref="F75:F76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K163"/>
  <sheetViews>
    <sheetView topLeftCell="D1" workbookViewId="0">
      <pane ySplit="1" topLeftCell="A2" activePane="bottomLeft" state="frozenSplit"/>
      <selection pane="bottomLeft" activeCell="F100" sqref="F100"/>
    </sheetView>
  </sheetViews>
  <sheetFormatPr defaultColWidth="9.109375" defaultRowHeight="10.199999999999999"/>
  <cols>
    <col min="1" max="1" width="7.44140625" style="24" customWidth="1"/>
    <col min="2" max="2" width="8.33203125" style="24" customWidth="1"/>
    <col min="3" max="3" width="11.109375" style="24" customWidth="1"/>
    <col min="4" max="4" width="9" style="24" customWidth="1"/>
    <col min="5" max="6" width="10.33203125" style="24" customWidth="1"/>
    <col min="7" max="8" width="11.109375" style="24" customWidth="1"/>
    <col min="9" max="9" width="9.109375" style="24"/>
    <col min="10" max="10" width="11.109375" style="24" customWidth="1"/>
    <col min="11" max="11" width="15.33203125" style="38" customWidth="1"/>
    <col min="12" max="16384" width="9.109375" style="24"/>
  </cols>
  <sheetData>
    <row r="1" spans="1:11" s="18" customFormat="1" ht="24" customHeight="1">
      <c r="A1" s="16" t="s">
        <v>25</v>
      </c>
      <c r="B1" s="16" t="s">
        <v>26</v>
      </c>
      <c r="C1" s="16" t="s">
        <v>27</v>
      </c>
      <c r="D1" s="16" t="s">
        <v>28</v>
      </c>
      <c r="E1" s="17" t="s">
        <v>29</v>
      </c>
      <c r="F1" s="16" t="s">
        <v>30</v>
      </c>
      <c r="G1" s="17" t="s">
        <v>31</v>
      </c>
      <c r="H1" s="17" t="s">
        <v>32</v>
      </c>
      <c r="K1" s="19"/>
    </row>
    <row r="2" spans="1:11" ht="12.45" customHeight="1">
      <c r="A2" s="20">
        <f>B2*0.0254*12</f>
        <v>0</v>
      </c>
      <c r="B2" s="20">
        <v>0</v>
      </c>
      <c r="C2" s="22">
        <f t="shared" ref="C2:C33" si="0">T0-Lapse_rate/1000*MIN(Tropopause,A2)</f>
        <v>288.14999999999998</v>
      </c>
      <c r="D2" s="20">
        <f t="shared" ref="D2:D33" si="1">Rair*E2*C2</f>
        <v>101326.80930749999</v>
      </c>
      <c r="E2" s="21">
        <f t="shared" ref="E2:E33" si="2">r0*POWER(C2/T0,(g/Rair/(Lapse_rate/1000))-1)</f>
        <v>1.2250000000000001</v>
      </c>
      <c r="F2" s="22">
        <f t="shared" ref="F2:F33" si="3">SQRT(1.403*Rair*C2)</f>
        <v>340.66143760058901</v>
      </c>
      <c r="G2" s="23">
        <f t="shared" ref="G2:G33" si="4">m0*POWER(C2/T0,1.5)*(T0+110.4)/(C2+110.4)</f>
        <v>1.7839999999999999E-5</v>
      </c>
      <c r="H2" s="23">
        <f t="shared" ref="H2:H33" si="5">G2/E2</f>
        <v>1.4563265306122446E-5</v>
      </c>
      <c r="J2" s="24" t="s">
        <v>33</v>
      </c>
      <c r="K2" s="25">
        <v>288.14999999999998</v>
      </c>
    </row>
    <row r="3" spans="1:11" ht="12.45" customHeight="1">
      <c r="A3" s="26">
        <f>B3*0.0254*12</f>
        <v>152.39999999999998</v>
      </c>
      <c r="B3" s="26">
        <v>500</v>
      </c>
      <c r="C3" s="28">
        <f t="shared" si="0"/>
        <v>287.15940000000001</v>
      </c>
      <c r="D3" s="26">
        <f t="shared" si="1"/>
        <v>99509.348743039634</v>
      </c>
      <c r="E3" s="27">
        <f t="shared" si="2"/>
        <v>1.2071776661192484</v>
      </c>
      <c r="F3" s="28">
        <f t="shared" si="3"/>
        <v>340.07537175222728</v>
      </c>
      <c r="G3" s="29">
        <f t="shared" si="4"/>
        <v>1.7792306730656992E-5</v>
      </c>
      <c r="H3" s="29">
        <f t="shared" si="5"/>
        <v>1.4738764003027387E-5</v>
      </c>
      <c r="J3" s="30" t="s">
        <v>34</v>
      </c>
      <c r="K3" s="31">
        <v>1.2250000000000001</v>
      </c>
    </row>
    <row r="4" spans="1:11" ht="12.45" customHeight="1">
      <c r="A4" s="20">
        <v>200</v>
      </c>
      <c r="B4" s="20">
        <f>A4/0.0254/12</f>
        <v>656.16797900262475</v>
      </c>
      <c r="C4" s="22">
        <f t="shared" si="0"/>
        <v>286.84999999999997</v>
      </c>
      <c r="D4" s="20">
        <f t="shared" si="1"/>
        <v>98947.132826026223</v>
      </c>
      <c r="E4" s="21">
        <f t="shared" si="2"/>
        <v>1.2016519770690548</v>
      </c>
      <c r="F4" s="22">
        <f t="shared" si="3"/>
        <v>339.89211520995894</v>
      </c>
      <c r="G4" s="23">
        <f t="shared" si="4"/>
        <v>1.7777394216745235E-5</v>
      </c>
      <c r="H4" s="23">
        <f t="shared" si="5"/>
        <v>1.4794128879233417E-5</v>
      </c>
      <c r="J4" s="30" t="s">
        <v>35</v>
      </c>
      <c r="K4" s="32">
        <v>1.7839999999999999E-5</v>
      </c>
    </row>
    <row r="5" spans="1:11" ht="12.45" customHeight="1">
      <c r="A5" s="26">
        <f>B5*0.0254*12</f>
        <v>304.79999999999995</v>
      </c>
      <c r="B5" s="26">
        <v>1000</v>
      </c>
      <c r="C5" s="28">
        <f t="shared" si="0"/>
        <v>286.16879999999998</v>
      </c>
      <c r="D5" s="26">
        <f t="shared" si="1"/>
        <v>97718.375317776459</v>
      </c>
      <c r="E5" s="27">
        <f t="shared" si="2"/>
        <v>1.1895543805925484</v>
      </c>
      <c r="F5" s="28">
        <f t="shared" si="3"/>
        <v>339.488294167459</v>
      </c>
      <c r="G5" s="29">
        <f t="shared" si="4"/>
        <v>1.7744534387124068E-5</v>
      </c>
      <c r="H5" s="29">
        <f t="shared" si="5"/>
        <v>1.491695938968763E-5</v>
      </c>
      <c r="J5" s="33" t="s">
        <v>36</v>
      </c>
      <c r="K5" s="34">
        <v>9.8066499999999994</v>
      </c>
    </row>
    <row r="6" spans="1:11" ht="12.45" customHeight="1">
      <c r="A6" s="20">
        <v>400</v>
      </c>
      <c r="B6" s="20">
        <f>A6/0.0254/12</f>
        <v>1312.3359580052495</v>
      </c>
      <c r="C6" s="22">
        <f t="shared" si="0"/>
        <v>285.54999999999995</v>
      </c>
      <c r="D6" s="20">
        <f t="shared" si="1"/>
        <v>96612.913588774856</v>
      </c>
      <c r="E6" s="21">
        <f t="shared" si="2"/>
        <v>1.1786459283938679</v>
      </c>
      <c r="F6" s="22">
        <f t="shared" si="3"/>
        <v>339.12104755632612</v>
      </c>
      <c r="G6" s="23">
        <f t="shared" si="4"/>
        <v>1.7714652078942959E-5</v>
      </c>
      <c r="H6" s="23">
        <f t="shared" si="5"/>
        <v>1.5029663830496225E-5</v>
      </c>
      <c r="J6" s="33" t="s">
        <v>37</v>
      </c>
      <c r="K6" s="35">
        <v>287.05799999999999</v>
      </c>
    </row>
    <row r="7" spans="1:11" ht="12.45" customHeight="1">
      <c r="A7" s="26">
        <f>B7*0.0254*12</f>
        <v>457.20000000000005</v>
      </c>
      <c r="B7" s="26">
        <v>1500</v>
      </c>
      <c r="C7" s="28">
        <f t="shared" si="0"/>
        <v>285.1782</v>
      </c>
      <c r="D7" s="26">
        <f t="shared" si="1"/>
        <v>95953.592703075279</v>
      </c>
      <c r="E7" s="27">
        <f t="shared" si="2"/>
        <v>1.1721285978479046</v>
      </c>
      <c r="F7" s="28">
        <f t="shared" si="3"/>
        <v>338.90019958838445</v>
      </c>
      <c r="G7" s="29">
        <f t="shared" si="4"/>
        <v>1.7696682651338023E-5</v>
      </c>
      <c r="H7" s="29">
        <f t="shared" si="5"/>
        <v>1.5097901957029416E-5</v>
      </c>
      <c r="J7" s="33" t="s">
        <v>38</v>
      </c>
      <c r="K7" s="36">
        <v>6.5</v>
      </c>
    </row>
    <row r="8" spans="1:11" ht="12.45" customHeight="1">
      <c r="A8" s="20">
        <v>600</v>
      </c>
      <c r="B8" s="20">
        <f>A8/0.0254/12</f>
        <v>1968.5039370078741</v>
      </c>
      <c r="C8" s="22">
        <f t="shared" si="0"/>
        <v>284.25</v>
      </c>
      <c r="D8" s="20">
        <f t="shared" si="1"/>
        <v>94323.484293332818</v>
      </c>
      <c r="E8" s="21">
        <f t="shared" si="2"/>
        <v>1.1559783678666702</v>
      </c>
      <c r="F8" s="22">
        <f t="shared" si="3"/>
        <v>338.34822270776004</v>
      </c>
      <c r="G8" s="23">
        <f t="shared" si="4"/>
        <v>1.7651772865870068E-5</v>
      </c>
      <c r="H8" s="23">
        <f t="shared" si="5"/>
        <v>1.5269985456947594E-5</v>
      </c>
      <c r="J8" s="33" t="s">
        <v>39</v>
      </c>
      <c r="K8" s="37">
        <v>11000</v>
      </c>
    </row>
    <row r="9" spans="1:11" ht="12.45" customHeight="1">
      <c r="A9" s="26">
        <f>B9*0.0254*12</f>
        <v>609.59999999999991</v>
      </c>
      <c r="B9" s="26">
        <v>2000</v>
      </c>
      <c r="C9" s="28">
        <f t="shared" si="0"/>
        <v>284.18759999999997</v>
      </c>
      <c r="D9" s="26">
        <f t="shared" si="1"/>
        <v>94214.706875199015</v>
      </c>
      <c r="E9" s="27">
        <f t="shared" si="2"/>
        <v>1.1548987790173675</v>
      </c>
      <c r="F9" s="28">
        <f t="shared" si="3"/>
        <v>338.31108271140391</v>
      </c>
      <c r="G9" s="29">
        <f t="shared" si="4"/>
        <v>1.7648751203482046E-5</v>
      </c>
      <c r="H9" s="29">
        <f t="shared" si="5"/>
        <v>1.5281643312930234E-5</v>
      </c>
      <c r="K9" s="25"/>
    </row>
    <row r="10" spans="1:11" ht="12.45" customHeight="1">
      <c r="A10" s="26">
        <f>B10*0.0254*12</f>
        <v>762</v>
      </c>
      <c r="B10" s="26">
        <v>2500</v>
      </c>
      <c r="C10" s="28">
        <f t="shared" si="0"/>
        <v>283.197</v>
      </c>
      <c r="D10" s="26">
        <f t="shared" si="1"/>
        <v>92501.426105294711</v>
      </c>
      <c r="E10" s="27">
        <f t="shared" si="2"/>
        <v>1.1378633919311021</v>
      </c>
      <c r="F10" s="28">
        <f t="shared" si="3"/>
        <v>337.72093818666025</v>
      </c>
      <c r="G10" s="29">
        <f t="shared" si="4"/>
        <v>1.7600739721976257E-5</v>
      </c>
      <c r="H10" s="29">
        <f t="shared" si="5"/>
        <v>1.5468236210768249E-5</v>
      </c>
      <c r="K10" s="25"/>
    </row>
    <row r="11" spans="1:11" ht="12.45" customHeight="1">
      <c r="A11" s="20">
        <v>800</v>
      </c>
      <c r="B11" s="20">
        <f>A11/0.0254/12</f>
        <v>2624.671916010499</v>
      </c>
      <c r="C11" s="22">
        <f t="shared" si="0"/>
        <v>282.95</v>
      </c>
      <c r="D11" s="20">
        <f t="shared" si="1"/>
        <v>92078.184455201525</v>
      </c>
      <c r="E11" s="21">
        <f t="shared" si="2"/>
        <v>1.1336458292533071</v>
      </c>
      <c r="F11" s="22">
        <f t="shared" si="3"/>
        <v>337.57362859574795</v>
      </c>
      <c r="G11" s="23">
        <f t="shared" si="4"/>
        <v>1.7588755851584652E-5</v>
      </c>
      <c r="H11" s="23">
        <f t="shared" si="5"/>
        <v>1.5515212421475364E-5</v>
      </c>
      <c r="K11" s="25"/>
    </row>
    <row r="12" spans="1:11" ht="12.45" customHeight="1">
      <c r="A12" s="26">
        <f>B12*0.0254*12</f>
        <v>914.40000000000009</v>
      </c>
      <c r="B12" s="26">
        <v>3000</v>
      </c>
      <c r="C12" s="28">
        <f t="shared" si="0"/>
        <v>282.20639999999997</v>
      </c>
      <c r="D12" s="26">
        <f t="shared" si="1"/>
        <v>90813.460949386426</v>
      </c>
      <c r="E12" s="27">
        <f t="shared" si="2"/>
        <v>1.1210209111114173</v>
      </c>
      <c r="F12" s="28">
        <f t="shared" si="3"/>
        <v>337.12976061747139</v>
      </c>
      <c r="G12" s="29">
        <f t="shared" si="4"/>
        <v>1.7552647883468216E-5</v>
      </c>
      <c r="H12" s="29">
        <f t="shared" si="5"/>
        <v>1.5657734578800978E-5</v>
      </c>
      <c r="K12" s="25"/>
    </row>
    <row r="13" spans="1:11" ht="12.45" customHeight="1">
      <c r="A13" s="20">
        <v>1000</v>
      </c>
      <c r="B13" s="20">
        <f>A13/0.0254/12</f>
        <v>3280.8398950131236</v>
      </c>
      <c r="C13" s="22">
        <f t="shared" si="0"/>
        <v>281.64999999999998</v>
      </c>
      <c r="D13" s="20">
        <f t="shared" si="1"/>
        <v>89876.360368841284</v>
      </c>
      <c r="E13" s="21">
        <f t="shared" si="2"/>
        <v>1.1116448661700618</v>
      </c>
      <c r="F13" s="22">
        <f t="shared" si="3"/>
        <v>336.7972530129959</v>
      </c>
      <c r="G13" s="23">
        <f t="shared" si="4"/>
        <v>1.7525600304889066E-5</v>
      </c>
      <c r="H13" s="23">
        <f t="shared" si="5"/>
        <v>1.576546686647313E-5</v>
      </c>
      <c r="K13" s="25"/>
    </row>
    <row r="14" spans="1:11" ht="12.45" customHeight="1">
      <c r="A14" s="26">
        <f>B14*0.0254*12</f>
        <v>1066.8</v>
      </c>
      <c r="B14" s="26">
        <v>3500</v>
      </c>
      <c r="C14" s="28">
        <f t="shared" si="0"/>
        <v>281.2158</v>
      </c>
      <c r="D14" s="26">
        <f t="shared" si="1"/>
        <v>89150.524238379134</v>
      </c>
      <c r="E14" s="27">
        <f t="shared" si="2"/>
        <v>1.1043698177668027</v>
      </c>
      <c r="F14" s="28">
        <f t="shared" si="3"/>
        <v>336.53754455975519</v>
      </c>
      <c r="G14" s="29">
        <f t="shared" si="4"/>
        <v>1.7504475362823476E-5</v>
      </c>
      <c r="H14" s="29">
        <f t="shared" si="5"/>
        <v>1.5850193550399709E-5</v>
      </c>
      <c r="K14" s="25"/>
    </row>
    <row r="15" spans="1:11" ht="12.45" customHeight="1">
      <c r="A15" s="20">
        <v>1200</v>
      </c>
      <c r="B15" s="20">
        <f>A15/0.0254/12</f>
        <v>3937.0078740157483</v>
      </c>
      <c r="C15" s="22">
        <f t="shared" si="0"/>
        <v>280.34999999999997</v>
      </c>
      <c r="D15" s="20">
        <f t="shared" si="1"/>
        <v>87717.365068760308</v>
      </c>
      <c r="E15" s="21">
        <f t="shared" si="2"/>
        <v>1.0899720520603875</v>
      </c>
      <c r="F15" s="22">
        <f t="shared" si="3"/>
        <v>336.01908361118416</v>
      </c>
      <c r="G15" s="23">
        <f t="shared" si="4"/>
        <v>1.7462305489293048E-5</v>
      </c>
      <c r="H15" s="23">
        <f t="shared" si="5"/>
        <v>1.6020874531859638E-5</v>
      </c>
      <c r="K15" s="25"/>
    </row>
    <row r="16" spans="1:11" ht="12.45" customHeight="1">
      <c r="A16" s="26">
        <f>B16*0.0254*12</f>
        <v>1219.1999999999998</v>
      </c>
      <c r="B16" s="26">
        <v>4000</v>
      </c>
      <c r="C16" s="28">
        <f t="shared" si="0"/>
        <v>280.22519999999997</v>
      </c>
      <c r="D16" s="26">
        <f t="shared" si="1"/>
        <v>87512.331068069325</v>
      </c>
      <c r="E16" s="27">
        <f t="shared" si="2"/>
        <v>1.0879085997859264</v>
      </c>
      <c r="F16" s="28">
        <f t="shared" si="3"/>
        <v>335.94428452144376</v>
      </c>
      <c r="G16" s="29">
        <f t="shared" si="4"/>
        <v>1.7456221833116055E-5</v>
      </c>
      <c r="H16" s="29">
        <f t="shared" si="5"/>
        <v>1.6045669495168078E-5</v>
      </c>
      <c r="K16" s="25"/>
    </row>
    <row r="17" spans="1:11" ht="12.45" customHeight="1">
      <c r="A17" s="26">
        <f>B17*0.0254*12</f>
        <v>1371.6</v>
      </c>
      <c r="B17" s="26">
        <v>4500</v>
      </c>
      <c r="C17" s="28">
        <f t="shared" si="0"/>
        <v>279.2346</v>
      </c>
      <c r="D17" s="26">
        <f t="shared" si="1"/>
        <v>85898.598789166834</v>
      </c>
      <c r="E17" s="27">
        <f t="shared" si="2"/>
        <v>1.0716357517316415</v>
      </c>
      <c r="F17" s="28">
        <f t="shared" si="3"/>
        <v>335.34997496189021</v>
      </c>
      <c r="G17" s="29">
        <f t="shared" si="4"/>
        <v>1.7407886965619103E-5</v>
      </c>
      <c r="H17" s="29">
        <f t="shared" si="5"/>
        <v>1.6244220050973417E-5</v>
      </c>
      <c r="K17" s="25"/>
    </row>
    <row r="18" spans="1:11" ht="12.45" customHeight="1">
      <c r="A18" s="20">
        <v>1400</v>
      </c>
      <c r="B18" s="20">
        <f>A18/0.0254/12</f>
        <v>4593.1758530183733</v>
      </c>
      <c r="C18" s="22">
        <f t="shared" si="0"/>
        <v>279.04999999999995</v>
      </c>
      <c r="D18" s="20">
        <f t="shared" si="1"/>
        <v>85600.558290650428</v>
      </c>
      <c r="E18" s="21">
        <f t="shared" si="2"/>
        <v>1.0686239801715722</v>
      </c>
      <c r="F18" s="22">
        <f t="shared" si="3"/>
        <v>335.2391078986758</v>
      </c>
      <c r="G18" s="23">
        <f t="shared" si="4"/>
        <v>1.7398870662976965E-5</v>
      </c>
      <c r="H18" s="23">
        <f t="shared" si="5"/>
        <v>1.6281564877650883E-5</v>
      </c>
      <c r="K18" s="25"/>
    </row>
    <row r="19" spans="1:11" ht="12.45" customHeight="1">
      <c r="A19" s="26">
        <f>B19*0.0254*12</f>
        <v>1524</v>
      </c>
      <c r="B19" s="26">
        <v>5000</v>
      </c>
      <c r="C19" s="28">
        <f t="shared" si="0"/>
        <v>278.24399999999997</v>
      </c>
      <c r="D19" s="26">
        <f t="shared" si="1"/>
        <v>84309.046997323647</v>
      </c>
      <c r="E19" s="27">
        <f t="shared" si="2"/>
        <v>1.0555497748349543</v>
      </c>
      <c r="F19" s="28">
        <f t="shared" si="3"/>
        <v>334.75461029126393</v>
      </c>
      <c r="G19" s="29">
        <f t="shared" si="4"/>
        <v>1.7359470429795383E-5</v>
      </c>
      <c r="H19" s="29">
        <f t="shared" si="5"/>
        <v>1.6445904156921174E-5</v>
      </c>
      <c r="K19" s="25"/>
    </row>
    <row r="20" spans="1:11" ht="12.45" customHeight="1">
      <c r="A20" s="20">
        <v>1600</v>
      </c>
      <c r="B20" s="20">
        <f>A20/0.0254/12</f>
        <v>5249.343832020998</v>
      </c>
      <c r="C20" s="22">
        <f t="shared" si="0"/>
        <v>277.75</v>
      </c>
      <c r="D20" s="20">
        <f t="shared" si="1"/>
        <v>83525.306432567872</v>
      </c>
      <c r="E20" s="21">
        <f t="shared" si="2"/>
        <v>1.0475972635313138</v>
      </c>
      <c r="F20" s="22">
        <f t="shared" si="3"/>
        <v>334.45731323817694</v>
      </c>
      <c r="G20" s="23">
        <f t="shared" si="4"/>
        <v>1.7335295078755127E-5</v>
      </c>
      <c r="H20" s="23">
        <f t="shared" si="5"/>
        <v>1.6547671211282196E-5</v>
      </c>
      <c r="K20" s="25"/>
    </row>
    <row r="21" spans="1:11" ht="12.45" customHeight="1">
      <c r="A21" s="26">
        <f>B21*0.0254*12</f>
        <v>1676.3999999999999</v>
      </c>
      <c r="B21" s="26">
        <v>5500</v>
      </c>
      <c r="C21" s="28">
        <f t="shared" si="0"/>
        <v>277.2534</v>
      </c>
      <c r="D21" s="26">
        <f t="shared" si="1"/>
        <v>82743.397523173364</v>
      </c>
      <c r="E21" s="27">
        <f t="shared" si="2"/>
        <v>1.0396491769889951</v>
      </c>
      <c r="F21" s="28">
        <f t="shared" si="3"/>
        <v>334.15818486993788</v>
      </c>
      <c r="G21" s="29">
        <f t="shared" si="4"/>
        <v>1.7310971893287968E-5</v>
      </c>
      <c r="H21" s="29">
        <f t="shared" si="5"/>
        <v>1.665078208730329E-5</v>
      </c>
      <c r="K21" s="25"/>
    </row>
    <row r="22" spans="1:11" ht="12.45" customHeight="1">
      <c r="A22" s="20">
        <v>1800</v>
      </c>
      <c r="B22" s="20">
        <f>A22/0.0254/12</f>
        <v>5905.5118110236217</v>
      </c>
      <c r="C22" s="22">
        <f t="shared" si="0"/>
        <v>276.45</v>
      </c>
      <c r="D22" s="20">
        <f t="shared" si="1"/>
        <v>81490.982516160395</v>
      </c>
      <c r="E22" s="21">
        <f t="shared" si="2"/>
        <v>1.0268885349242174</v>
      </c>
      <c r="F22" s="22">
        <f t="shared" si="3"/>
        <v>333.67368684434797</v>
      </c>
      <c r="G22" s="23">
        <f t="shared" si="4"/>
        <v>1.7271577984039255E-5</v>
      </c>
      <c r="H22" s="23">
        <f t="shared" si="5"/>
        <v>1.6819330819886763E-5</v>
      </c>
      <c r="K22" s="25"/>
    </row>
    <row r="23" spans="1:11" ht="12.45" customHeight="1">
      <c r="A23" s="26">
        <f>B23*0.0254*12</f>
        <v>1828.8000000000002</v>
      </c>
      <c r="B23" s="26">
        <v>6000</v>
      </c>
      <c r="C23" s="28">
        <f t="shared" si="0"/>
        <v>276.26279999999997</v>
      </c>
      <c r="D23" s="26">
        <f t="shared" si="1"/>
        <v>81201.374422378343</v>
      </c>
      <c r="E23" s="27">
        <f t="shared" si="2"/>
        <v>1.023932472742958</v>
      </c>
      <c r="F23" s="28">
        <f t="shared" si="3"/>
        <v>333.56069300786504</v>
      </c>
      <c r="G23" s="29">
        <f t="shared" si="4"/>
        <v>1.7262391021910826E-5</v>
      </c>
      <c r="H23" s="29">
        <f t="shared" si="5"/>
        <v>1.6858915486553062E-5</v>
      </c>
      <c r="K23" s="25"/>
    </row>
    <row r="24" spans="1:11" ht="12.45" customHeight="1">
      <c r="A24" s="26">
        <f>B24*0.0254*12</f>
        <v>1981.1999999999998</v>
      </c>
      <c r="B24" s="26">
        <v>6500</v>
      </c>
      <c r="C24" s="28">
        <f t="shared" si="0"/>
        <v>275.2722</v>
      </c>
      <c r="D24" s="26">
        <f t="shared" si="1"/>
        <v>79682.703965686975</v>
      </c>
      <c r="E24" s="27">
        <f t="shared" si="2"/>
        <v>1.0083981832960369</v>
      </c>
      <c r="F24" s="28">
        <f t="shared" si="3"/>
        <v>332.96212896394508</v>
      </c>
      <c r="G24" s="29">
        <f t="shared" si="4"/>
        <v>1.7213727479639496E-5</v>
      </c>
      <c r="H24" s="29">
        <f t="shared" si="5"/>
        <v>1.7070367405239598E-5</v>
      </c>
      <c r="K24" s="25"/>
    </row>
    <row r="25" spans="1:11" ht="12.45" customHeight="1">
      <c r="A25" s="20">
        <v>2000</v>
      </c>
      <c r="B25" s="20">
        <f>A25/0.0254/12</f>
        <v>6561.6797900262472</v>
      </c>
      <c r="C25" s="22">
        <f t="shared" si="0"/>
        <v>275.14999999999998</v>
      </c>
      <c r="D25" s="20">
        <f t="shared" si="1"/>
        <v>79496.966147940839</v>
      </c>
      <c r="E25" s="21">
        <f t="shared" si="2"/>
        <v>1.0064944468682158</v>
      </c>
      <c r="F25" s="22">
        <f t="shared" si="3"/>
        <v>332.88821578136401</v>
      </c>
      <c r="G25" s="23">
        <f t="shared" si="4"/>
        <v>1.7207718620802069E-5</v>
      </c>
      <c r="H25" s="23">
        <f t="shared" si="5"/>
        <v>1.7096685107747189E-5</v>
      </c>
      <c r="K25" s="25"/>
    </row>
    <row r="26" spans="1:11" ht="12.45" customHeight="1">
      <c r="A26" s="26">
        <f>B26*0.0254*12</f>
        <v>2133.6</v>
      </c>
      <c r="B26" s="26">
        <v>7000</v>
      </c>
      <c r="C26" s="28">
        <f t="shared" si="0"/>
        <v>274.28159999999997</v>
      </c>
      <c r="D26" s="26">
        <f t="shared" si="1"/>
        <v>78187.114628999232</v>
      </c>
      <c r="E26" s="27">
        <f t="shared" si="2"/>
        <v>0.99304483649133557</v>
      </c>
      <c r="F26" s="28">
        <f t="shared" si="3"/>
        <v>332.36248694538074</v>
      </c>
      <c r="G26" s="29">
        <f t="shared" si="4"/>
        <v>1.7164980928601798E-5</v>
      </c>
      <c r="H26" s="29">
        <f t="shared" si="5"/>
        <v>1.7285202337136935E-5</v>
      </c>
      <c r="K26" s="25"/>
    </row>
    <row r="27" spans="1:11" ht="12.45" customHeight="1">
      <c r="A27" s="20">
        <v>2200</v>
      </c>
      <c r="B27" s="20">
        <f>A27/0.0254/12</f>
        <v>7217.8477690288719</v>
      </c>
      <c r="C27" s="22">
        <f t="shared" si="0"/>
        <v>273.84999999999997</v>
      </c>
      <c r="D27" s="20">
        <f t="shared" si="1"/>
        <v>77542.643480606552</v>
      </c>
      <c r="E27" s="21">
        <f t="shared" si="2"/>
        <v>0.98641167159089982</v>
      </c>
      <c r="F27" s="22">
        <f t="shared" si="3"/>
        <v>332.10088696042351</v>
      </c>
      <c r="G27" s="23">
        <f t="shared" si="4"/>
        <v>1.7143716225541066E-5</v>
      </c>
      <c r="H27" s="23">
        <f t="shared" si="5"/>
        <v>1.7379879739147264E-5</v>
      </c>
      <c r="K27" s="25"/>
    </row>
    <row r="28" spans="1:11" ht="12.45" customHeight="1">
      <c r="A28" s="26">
        <f>B28*0.0254*12</f>
        <v>2286</v>
      </c>
      <c r="B28" s="26">
        <v>7500</v>
      </c>
      <c r="C28" s="28">
        <f t="shared" si="0"/>
        <v>273.291</v>
      </c>
      <c r="D28" s="26">
        <f t="shared" si="1"/>
        <v>76714.337083442078</v>
      </c>
      <c r="E28" s="27">
        <f t="shared" si="2"/>
        <v>0.97787096680977137</v>
      </c>
      <c r="F28" s="28">
        <f t="shared" si="3"/>
        <v>331.76176110702391</v>
      </c>
      <c r="G28" s="29">
        <f t="shared" si="4"/>
        <v>1.7116151029068602E-5</v>
      </c>
      <c r="H28" s="29">
        <f t="shared" si="5"/>
        <v>1.7503486257403393E-5</v>
      </c>
      <c r="K28" s="25"/>
    </row>
    <row r="29" spans="1:11" ht="12.45" customHeight="1">
      <c r="A29" s="20">
        <v>2400</v>
      </c>
      <c r="B29" s="20">
        <f>A29/0.0254/12</f>
        <v>7874.0157480314965</v>
      </c>
      <c r="C29" s="22">
        <f t="shared" si="0"/>
        <v>272.54999999999995</v>
      </c>
      <c r="D29" s="20">
        <f t="shared" si="1"/>
        <v>75627.407174405555</v>
      </c>
      <c r="E29" s="21">
        <f t="shared" si="2"/>
        <v>0.96663690100576971</v>
      </c>
      <c r="F29" s="22">
        <f t="shared" si="3"/>
        <v>331.31168713720314</v>
      </c>
      <c r="G29" s="23">
        <f t="shared" si="4"/>
        <v>1.7079570029242457E-5</v>
      </c>
      <c r="H29" s="23">
        <f t="shared" si="5"/>
        <v>1.7669064786862002E-5</v>
      </c>
      <c r="K29" s="25"/>
    </row>
    <row r="30" spans="1:11" ht="12.45" customHeight="1">
      <c r="A30" s="26">
        <f>B30*0.0254*12</f>
        <v>2438.3999999999996</v>
      </c>
      <c r="B30" s="26">
        <v>8000</v>
      </c>
      <c r="C30" s="28">
        <f t="shared" si="0"/>
        <v>272.30039999999997</v>
      </c>
      <c r="D30" s="26">
        <f t="shared" si="1"/>
        <v>75264.104185453165</v>
      </c>
      <c r="E30" s="27">
        <f t="shared" si="2"/>
        <v>0.96287511536394998</v>
      </c>
      <c r="F30" s="28">
        <f t="shared" si="3"/>
        <v>331.15994555071057</v>
      </c>
      <c r="G30" s="29">
        <f t="shared" si="4"/>
        <v>1.7067237439444551E-5</v>
      </c>
      <c r="H30" s="29">
        <f t="shared" si="5"/>
        <v>1.7725286661908834E-5</v>
      </c>
      <c r="K30" s="25"/>
    </row>
    <row r="31" spans="1:11" ht="12.45" customHeight="1">
      <c r="A31" s="26">
        <f>B31*0.0254*12</f>
        <v>2590.7999999999997</v>
      </c>
      <c r="B31" s="26">
        <v>8500</v>
      </c>
      <c r="C31" s="28">
        <f t="shared" si="0"/>
        <v>271.3098</v>
      </c>
      <c r="D31" s="26">
        <f t="shared" si="1"/>
        <v>73836.150966874484</v>
      </c>
      <c r="E31" s="27">
        <f t="shared" si="2"/>
        <v>0.94805582989203763</v>
      </c>
      <c r="F31" s="28">
        <f t="shared" si="3"/>
        <v>330.55703432458552</v>
      </c>
      <c r="G31" s="29">
        <f t="shared" si="4"/>
        <v>1.7018239816258932E-5</v>
      </c>
      <c r="H31" s="29">
        <f t="shared" si="5"/>
        <v>1.7950672607748143E-5</v>
      </c>
      <c r="K31" s="25"/>
    </row>
    <row r="32" spans="1:11" ht="12.45" customHeight="1">
      <c r="A32" s="20">
        <v>2600</v>
      </c>
      <c r="B32" s="20">
        <f>A32/0.0254/12</f>
        <v>8530.1837270341221</v>
      </c>
      <c r="C32" s="22">
        <f t="shared" si="0"/>
        <v>271.25</v>
      </c>
      <c r="D32" s="20">
        <f t="shared" si="1"/>
        <v>73750.656358549444</v>
      </c>
      <c r="E32" s="21">
        <f t="shared" si="2"/>
        <v>0.94716684668840434</v>
      </c>
      <c r="F32" s="22">
        <f t="shared" si="3"/>
        <v>330.52060290925891</v>
      </c>
      <c r="G32" s="23">
        <f t="shared" si="4"/>
        <v>1.7015279257345362E-5</v>
      </c>
      <c r="H32" s="23">
        <f t="shared" si="5"/>
        <v>1.7964394886535752E-5</v>
      </c>
      <c r="K32" s="25"/>
    </row>
    <row r="33" spans="1:11" ht="12.45" customHeight="1">
      <c r="A33" s="26">
        <f>B33*0.0254*12</f>
        <v>2743.2</v>
      </c>
      <c r="B33" s="26">
        <v>9000</v>
      </c>
      <c r="C33" s="28">
        <f t="shared" si="0"/>
        <v>270.31919999999997</v>
      </c>
      <c r="D33" s="26">
        <f t="shared" si="1"/>
        <v>72430.214625054534</v>
      </c>
      <c r="E33" s="27">
        <f t="shared" si="2"/>
        <v>0.93341166475160386</v>
      </c>
      <c r="F33" s="28">
        <f t="shared" si="3"/>
        <v>329.95302142241519</v>
      </c>
      <c r="G33" s="29">
        <f t="shared" si="4"/>
        <v>1.6969157814156538E-5</v>
      </c>
      <c r="H33" s="29">
        <f t="shared" si="5"/>
        <v>1.8179714754981458E-5</v>
      </c>
      <c r="K33" s="25"/>
    </row>
    <row r="34" spans="1:11" ht="12.45" customHeight="1">
      <c r="A34" s="20">
        <v>2800</v>
      </c>
      <c r="B34" s="20">
        <f>A34/0.0254/12</f>
        <v>9186.3517060367467</v>
      </c>
      <c r="C34" s="22">
        <f t="shared" ref="C34:C65" si="6">T0-Lapse_rate/1000*MIN(Tropopause,A34)</f>
        <v>269.95</v>
      </c>
      <c r="D34" s="20">
        <f t="shared" ref="D34:D65" si="7">Rair*E34*C34</f>
        <v>71911.796592672705</v>
      </c>
      <c r="E34" s="21">
        <f t="shared" ref="E34:E65" si="8">r0*POWER(C34/T0,(g/Rair/(Lapse_rate/1000))-1)</f>
        <v>0.92799823985254093</v>
      </c>
      <c r="F34" s="22">
        <f t="shared" ref="F34:F65" si="9">SQRT(1.403*Rair*C34)</f>
        <v>329.72762071337002</v>
      </c>
      <c r="G34" s="23">
        <f t="shared" ref="G34:G65" si="10">m0*POWER(C34/T0,1.5)*(T0+110.4)/(C34+110.4)</f>
        <v>1.6950843129706197E-5</v>
      </c>
      <c r="H34" s="23">
        <f t="shared" ref="H34:H65" si="11">G34/E34</f>
        <v>1.8266029397210592E-5</v>
      </c>
    </row>
    <row r="35" spans="1:11" ht="12.45" customHeight="1">
      <c r="A35" s="26">
        <f>B35*0.0254*12</f>
        <v>2895.6</v>
      </c>
      <c r="B35" s="26">
        <v>9500</v>
      </c>
      <c r="C35" s="28">
        <f t="shared" si="6"/>
        <v>269.32859999999999</v>
      </c>
      <c r="D35" s="26">
        <f t="shared" si="7"/>
        <v>71046.034512960498</v>
      </c>
      <c r="E35" s="27">
        <f t="shared" si="8"/>
        <v>0.91894118091346033</v>
      </c>
      <c r="F35" s="28">
        <f t="shared" si="9"/>
        <v>329.34790078289006</v>
      </c>
      <c r="G35" s="29">
        <f t="shared" si="10"/>
        <v>1.6919991085888625E-5</v>
      </c>
      <c r="H35" s="29">
        <f t="shared" si="11"/>
        <v>1.8412485409642378E-5</v>
      </c>
      <c r="K35" s="25"/>
    </row>
    <row r="36" spans="1:11" ht="12.45" customHeight="1">
      <c r="A36" s="20">
        <v>3000</v>
      </c>
      <c r="B36" s="20">
        <f>A36/0.0254/12</f>
        <v>9842.5196850393713</v>
      </c>
      <c r="C36" s="22">
        <f t="shared" si="6"/>
        <v>268.64999999999998</v>
      </c>
      <c r="D36" s="20">
        <f t="shared" si="7"/>
        <v>70110.239828339647</v>
      </c>
      <c r="E36" s="21">
        <f t="shared" si="8"/>
        <v>0.90912783132607522</v>
      </c>
      <c r="F36" s="22">
        <f t="shared" si="9"/>
        <v>328.93272682282617</v>
      </c>
      <c r="G36" s="23">
        <f t="shared" si="10"/>
        <v>1.6886260860563386E-5</v>
      </c>
      <c r="H36" s="23">
        <f t="shared" si="11"/>
        <v>1.8574132568279961E-5</v>
      </c>
    </row>
    <row r="37" spans="1:11" ht="12.45" customHeight="1">
      <c r="A37" s="26">
        <f>B37*0.0254*12</f>
        <v>3048</v>
      </c>
      <c r="B37" s="26">
        <v>10000</v>
      </c>
      <c r="C37" s="28">
        <f t="shared" si="6"/>
        <v>268.33799999999997</v>
      </c>
      <c r="D37" s="26">
        <f t="shared" si="7"/>
        <v>69683.352129298408</v>
      </c>
      <c r="E37" s="27">
        <f t="shared" si="8"/>
        <v>0.90464294595546846</v>
      </c>
      <c r="F37" s="28">
        <f t="shared" si="9"/>
        <v>328.74166628891442</v>
      </c>
      <c r="G37" s="29">
        <f t="shared" si="10"/>
        <v>1.6870739282303848E-5</v>
      </c>
      <c r="H37" s="29">
        <f t="shared" si="11"/>
        <v>1.8649058568057766E-5</v>
      </c>
    </row>
    <row r="38" spans="1:11" ht="12.45" customHeight="1">
      <c r="A38" s="20">
        <v>3200</v>
      </c>
      <c r="B38" s="20">
        <f>A38/0.0254/12</f>
        <v>10498.687664041996</v>
      </c>
      <c r="C38" s="22">
        <f t="shared" si="6"/>
        <v>267.34999999999997</v>
      </c>
      <c r="D38" s="20">
        <f t="shared" si="7"/>
        <v>68345.404370598175</v>
      </c>
      <c r="E38" s="21">
        <f t="shared" si="8"/>
        <v>0.89055239152697496</v>
      </c>
      <c r="F38" s="22">
        <f t="shared" si="9"/>
        <v>328.13590734465498</v>
      </c>
      <c r="G38" s="23">
        <f t="shared" si="10"/>
        <v>1.6821531658502308E-5</v>
      </c>
      <c r="H38" s="23">
        <f t="shared" si="11"/>
        <v>1.8888873713156247E-5</v>
      </c>
    </row>
    <row r="39" spans="1:11" ht="12.45" customHeight="1">
      <c r="A39" s="26">
        <f>B39*0.0254*12</f>
        <v>3352.7999999999997</v>
      </c>
      <c r="B39" s="26">
        <v>11000</v>
      </c>
      <c r="C39" s="28">
        <f t="shared" si="6"/>
        <v>266.35679999999996</v>
      </c>
      <c r="D39" s="26">
        <f t="shared" si="7"/>
        <v>67021.457211582005</v>
      </c>
      <c r="E39" s="27">
        <f t="shared" si="8"/>
        <v>0.87655752598943737</v>
      </c>
      <c r="F39" s="28">
        <f t="shared" si="9"/>
        <v>327.52583098595932</v>
      </c>
      <c r="G39" s="29">
        <f t="shared" si="10"/>
        <v>1.6771979043011897E-5</v>
      </c>
      <c r="H39" s="29">
        <f t="shared" si="11"/>
        <v>1.9133917108383828E-5</v>
      </c>
    </row>
    <row r="40" spans="1:11" ht="12.45" customHeight="1">
      <c r="A40" s="20">
        <v>3400</v>
      </c>
      <c r="B40" s="20">
        <f>A40/0.0254/12</f>
        <v>11154.855643044619</v>
      </c>
      <c r="C40" s="22">
        <f t="shared" si="6"/>
        <v>266.04999999999995</v>
      </c>
      <c r="D40" s="20">
        <f t="shared" si="7"/>
        <v>66616.714839580585</v>
      </c>
      <c r="E40" s="21">
        <f t="shared" si="8"/>
        <v>0.87226871043910148</v>
      </c>
      <c r="F40" s="22">
        <f t="shared" si="9"/>
        <v>327.33714821678882</v>
      </c>
      <c r="G40" s="23">
        <f t="shared" si="10"/>
        <v>1.6756654726420615E-5</v>
      </c>
      <c r="H40" s="23">
        <f t="shared" si="11"/>
        <v>1.9210427389955658E-5</v>
      </c>
    </row>
    <row r="41" spans="1:11" ht="12.45" customHeight="1">
      <c r="A41" s="20">
        <v>3600</v>
      </c>
      <c r="B41" s="20">
        <f>A41/0.0254/12</f>
        <v>11811.023622047243</v>
      </c>
      <c r="C41" s="22">
        <f t="shared" si="6"/>
        <v>264.75</v>
      </c>
      <c r="D41" s="20">
        <f t="shared" si="7"/>
        <v>64923.60213215257</v>
      </c>
      <c r="E41" s="21">
        <f t="shared" si="8"/>
        <v>0.85427359758795274</v>
      </c>
      <c r="F41" s="22">
        <f t="shared" si="9"/>
        <v>326.53643520516971</v>
      </c>
      <c r="G41" s="23">
        <f t="shared" si="10"/>
        <v>1.6691629261493894E-5</v>
      </c>
      <c r="H41" s="23">
        <f t="shared" si="11"/>
        <v>1.9538973589518421E-5</v>
      </c>
    </row>
    <row r="42" spans="1:11" ht="12.45" customHeight="1">
      <c r="A42" s="26">
        <f>B42*0.0254*12</f>
        <v>3657.6000000000004</v>
      </c>
      <c r="B42" s="26">
        <v>12000</v>
      </c>
      <c r="C42" s="28">
        <f t="shared" si="6"/>
        <v>264.37559999999996</v>
      </c>
      <c r="D42" s="26">
        <f t="shared" si="7"/>
        <v>64442.504401519487</v>
      </c>
      <c r="E42" s="27">
        <f t="shared" si="8"/>
        <v>0.84914407738140685</v>
      </c>
      <c r="F42" s="28">
        <f t="shared" si="9"/>
        <v>326.30546543334879</v>
      </c>
      <c r="G42" s="29">
        <f t="shared" si="10"/>
        <v>1.6672874264680272E-5</v>
      </c>
      <c r="H42" s="29">
        <f t="shared" si="11"/>
        <v>1.963491792358269E-5</v>
      </c>
    </row>
    <row r="43" spans="1:11" ht="12.45" customHeight="1">
      <c r="A43" s="20">
        <v>3800</v>
      </c>
      <c r="B43" s="20">
        <f>A43/0.0254/12</f>
        <v>12467.19160104987</v>
      </c>
      <c r="C43" s="22">
        <f t="shared" si="6"/>
        <v>263.45</v>
      </c>
      <c r="D43" s="20">
        <f t="shared" si="7"/>
        <v>63265.503383609015</v>
      </c>
      <c r="E43" s="21">
        <f t="shared" si="8"/>
        <v>0.83656388201630894</v>
      </c>
      <c r="F43" s="22">
        <f t="shared" si="9"/>
        <v>325.73375390078934</v>
      </c>
      <c r="G43" s="23">
        <f t="shared" si="10"/>
        <v>1.6626454455141704E-5</v>
      </c>
      <c r="H43" s="23">
        <f t="shared" si="11"/>
        <v>1.9874697931099026E-5</v>
      </c>
    </row>
    <row r="44" spans="1:11" ht="12.45" customHeight="1">
      <c r="A44" s="26">
        <f>B44*0.0254*12</f>
        <v>3962.3999999999996</v>
      </c>
      <c r="B44" s="26">
        <v>13000</v>
      </c>
      <c r="C44" s="28">
        <f t="shared" si="6"/>
        <v>262.39439999999996</v>
      </c>
      <c r="D44" s="26">
        <f t="shared" si="7"/>
        <v>61944.501929851525</v>
      </c>
      <c r="E44" s="27">
        <f t="shared" si="8"/>
        <v>0.82239137797345441</v>
      </c>
      <c r="F44" s="28">
        <f t="shared" si="9"/>
        <v>325.08051861085983</v>
      </c>
      <c r="G44" s="29">
        <f t="shared" si="10"/>
        <v>1.6573422084702E-5</v>
      </c>
      <c r="H44" s="29">
        <f t="shared" si="11"/>
        <v>2.0152718679447252E-5</v>
      </c>
    </row>
    <row r="45" spans="1:11" ht="12.45" customHeight="1">
      <c r="A45" s="20">
        <v>4000</v>
      </c>
      <c r="B45" s="20">
        <f>A45/0.0254/12</f>
        <v>13123.359580052494</v>
      </c>
      <c r="C45" s="22">
        <f t="shared" si="6"/>
        <v>262.14999999999998</v>
      </c>
      <c r="D45" s="20">
        <f t="shared" si="7"/>
        <v>61641.861929418519</v>
      </c>
      <c r="E45" s="21">
        <f t="shared" si="8"/>
        <v>0.81913641225979805</v>
      </c>
      <c r="F45" s="22">
        <f t="shared" si="9"/>
        <v>324.92908971666418</v>
      </c>
      <c r="G45" s="23">
        <f t="shared" si="10"/>
        <v>1.6561129492994062E-5</v>
      </c>
      <c r="H45" s="23">
        <f t="shared" si="11"/>
        <v>2.0217791866077514E-5</v>
      </c>
    </row>
    <row r="46" spans="1:11" ht="12.45" customHeight="1">
      <c r="A46" s="20">
        <v>4200</v>
      </c>
      <c r="B46" s="20">
        <f>A46/0.0254/12</f>
        <v>13779.527559055119</v>
      </c>
      <c r="C46" s="22">
        <f t="shared" si="6"/>
        <v>260.84999999999997</v>
      </c>
      <c r="D46" s="20">
        <f t="shared" si="7"/>
        <v>60052.127267015414</v>
      </c>
      <c r="E46" s="21">
        <f t="shared" si="8"/>
        <v>0.80198805632236747</v>
      </c>
      <c r="F46" s="22">
        <f t="shared" si="9"/>
        <v>324.12242788474231</v>
      </c>
      <c r="G46" s="23">
        <f t="shared" si="10"/>
        <v>1.6495653554858355E-5</v>
      </c>
      <c r="H46" s="23">
        <f t="shared" si="11"/>
        <v>2.0568452890061188E-5</v>
      </c>
    </row>
    <row r="47" spans="1:11" ht="12.45" customHeight="1">
      <c r="A47" s="26">
        <f>B47*0.0254*12</f>
        <v>4267.2</v>
      </c>
      <c r="B47" s="26">
        <v>14000</v>
      </c>
      <c r="C47" s="28">
        <f t="shared" si="6"/>
        <v>260.41319999999996</v>
      </c>
      <c r="D47" s="26">
        <f t="shared" si="7"/>
        <v>59525.491413954485</v>
      </c>
      <c r="E47" s="27">
        <f t="shared" si="8"/>
        <v>0.79628831072091377</v>
      </c>
      <c r="F47" s="28">
        <f t="shared" si="9"/>
        <v>323.85093853335792</v>
      </c>
      <c r="G47" s="29">
        <f t="shared" si="10"/>
        <v>1.6473619609188172E-5</v>
      </c>
      <c r="H47" s="29">
        <f t="shared" si="11"/>
        <v>2.0688008837243765E-5</v>
      </c>
    </row>
    <row r="48" spans="1:11" ht="12.45" customHeight="1">
      <c r="A48" s="20">
        <v>4400</v>
      </c>
      <c r="B48" s="20">
        <f>A48/0.0254/12</f>
        <v>14435.695538057744</v>
      </c>
      <c r="C48" s="22">
        <f t="shared" si="6"/>
        <v>259.54999999999995</v>
      </c>
      <c r="D48" s="20">
        <f t="shared" si="7"/>
        <v>58495.75501764004</v>
      </c>
      <c r="E48" s="21">
        <f t="shared" si="8"/>
        <v>0.78511570165166533</v>
      </c>
      <c r="F48" s="22">
        <f t="shared" si="9"/>
        <v>323.31375345274131</v>
      </c>
      <c r="G48" s="23">
        <f t="shared" si="10"/>
        <v>1.6430025814686814E-5</v>
      </c>
      <c r="H48" s="23">
        <f t="shared" si="11"/>
        <v>2.0926884763764886E-5</v>
      </c>
    </row>
    <row r="49" spans="1:11" ht="12.45" customHeight="1">
      <c r="A49" s="26">
        <f>B49*0.0254*12</f>
        <v>4572</v>
      </c>
      <c r="B49" s="26">
        <v>15000</v>
      </c>
      <c r="C49" s="28">
        <f t="shared" si="6"/>
        <v>258.43199999999996</v>
      </c>
      <c r="D49" s="26">
        <f t="shared" si="7"/>
        <v>57183.547543951274</v>
      </c>
      <c r="E49" s="27">
        <f t="shared" si="8"/>
        <v>0.77082386349032095</v>
      </c>
      <c r="F49" s="28">
        <f t="shared" si="9"/>
        <v>322.61667222505406</v>
      </c>
      <c r="G49" s="29">
        <f t="shared" si="10"/>
        <v>1.6373463912698289E-5</v>
      </c>
      <c r="H49" s="29">
        <f t="shared" si="11"/>
        <v>2.1241511437591718E-5</v>
      </c>
    </row>
    <row r="50" spans="1:11" ht="12.45" customHeight="1">
      <c r="A50" s="20">
        <v>4600</v>
      </c>
      <c r="B50" s="20">
        <f>A50/0.0254/12</f>
        <v>15091.863517060368</v>
      </c>
      <c r="C50" s="22">
        <f t="shared" si="6"/>
        <v>258.25</v>
      </c>
      <c r="D50" s="20">
        <f t="shared" si="7"/>
        <v>56972.206888227447</v>
      </c>
      <c r="E50" s="21">
        <f t="shared" si="8"/>
        <v>0.76851625511433119</v>
      </c>
      <c r="F50" s="22">
        <f t="shared" si="9"/>
        <v>322.50305128091424</v>
      </c>
      <c r="G50" s="23">
        <f t="shared" si="10"/>
        <v>1.6364245440544409E-5</v>
      </c>
      <c r="H50" s="23">
        <f t="shared" si="11"/>
        <v>2.1293297743077563E-5</v>
      </c>
    </row>
    <row r="51" spans="1:11" ht="12.45" customHeight="1">
      <c r="A51" s="20">
        <v>4800</v>
      </c>
      <c r="B51" s="20">
        <f>A51/0.0254/12</f>
        <v>15748.031496062993</v>
      </c>
      <c r="C51" s="22">
        <f t="shared" si="6"/>
        <v>256.95</v>
      </c>
      <c r="D51" s="20">
        <f t="shared" si="7"/>
        <v>55480.95063334459</v>
      </c>
      <c r="E51" s="21">
        <f t="shared" si="8"/>
        <v>0.75218664297119497</v>
      </c>
      <c r="F51" s="22">
        <f t="shared" si="9"/>
        <v>321.69030603874279</v>
      </c>
      <c r="G51" s="23">
        <f t="shared" si="10"/>
        <v>1.6298311594577453E-5</v>
      </c>
      <c r="H51" s="23">
        <f t="shared" si="11"/>
        <v>2.1667908818744603E-5</v>
      </c>
    </row>
    <row r="52" spans="1:11" ht="12.45" customHeight="1">
      <c r="A52" s="26">
        <f>B52*0.0254*12</f>
        <v>4876.7999999999993</v>
      </c>
      <c r="B52" s="26">
        <v>16000</v>
      </c>
      <c r="C52" s="28">
        <f t="shared" si="6"/>
        <v>256.45079999999996</v>
      </c>
      <c r="D52" s="26">
        <f t="shared" si="7"/>
        <v>54916.777769428401</v>
      </c>
      <c r="E52" s="27">
        <f t="shared" si="8"/>
        <v>0.74598712885622709</v>
      </c>
      <c r="F52" s="28">
        <f t="shared" si="9"/>
        <v>321.37766569287169</v>
      </c>
      <c r="G52" s="29">
        <f t="shared" si="10"/>
        <v>1.6272952037977437E-5</v>
      </c>
      <c r="H52" s="29">
        <f t="shared" si="11"/>
        <v>2.1813984998545059E-5</v>
      </c>
    </row>
    <row r="53" spans="1:11" ht="12.45" customHeight="1">
      <c r="A53" s="20">
        <v>5000</v>
      </c>
      <c r="B53" s="20">
        <f>A53/0.0254/12</f>
        <v>16404.199475065619</v>
      </c>
      <c r="C53" s="22">
        <f t="shared" si="6"/>
        <v>255.64999999999998</v>
      </c>
      <c r="D53" s="20">
        <f t="shared" si="7"/>
        <v>54021.460017176571</v>
      </c>
      <c r="E53" s="21">
        <f t="shared" si="8"/>
        <v>0.73612381085238632</v>
      </c>
      <c r="F53" s="22">
        <f t="shared" si="9"/>
        <v>320.87550220155475</v>
      </c>
      <c r="G53" s="23">
        <f t="shared" si="10"/>
        <v>1.6232223432982748E-5</v>
      </c>
      <c r="H53" s="23">
        <f t="shared" si="11"/>
        <v>2.205094196611685E-5</v>
      </c>
    </row>
    <row r="54" spans="1:11" ht="12.45" customHeight="1">
      <c r="A54" s="26">
        <f>B54*0.0254*12</f>
        <v>5181.5999999999995</v>
      </c>
      <c r="B54" s="26">
        <v>17000</v>
      </c>
      <c r="C54" s="28">
        <f t="shared" si="6"/>
        <v>254.46959999999999</v>
      </c>
      <c r="D54" s="26">
        <f t="shared" si="7"/>
        <v>52723.321986761614</v>
      </c>
      <c r="E54" s="27">
        <f t="shared" si="8"/>
        <v>0.7217673038968524</v>
      </c>
      <c r="F54" s="28">
        <f t="shared" si="9"/>
        <v>320.13386389888586</v>
      </c>
      <c r="G54" s="29">
        <f t="shared" si="10"/>
        <v>1.6172080995700686E-5</v>
      </c>
      <c r="H54" s="29">
        <f t="shared" si="11"/>
        <v>2.2406225536106903E-5</v>
      </c>
    </row>
    <row r="55" spans="1:11" ht="12.45" customHeight="1">
      <c r="A55" s="20">
        <v>5200</v>
      </c>
      <c r="B55" s="20">
        <f>A55/0.0254/12</f>
        <v>17060.367454068244</v>
      </c>
      <c r="C55" s="22">
        <f t="shared" si="6"/>
        <v>254.34999999999997</v>
      </c>
      <c r="D55" s="20">
        <f t="shared" si="7"/>
        <v>52593.214775561231</v>
      </c>
      <c r="E55" s="21">
        <f t="shared" si="8"/>
        <v>0.72032472373234391</v>
      </c>
      <c r="F55" s="22">
        <f t="shared" si="9"/>
        <v>320.0586240470642</v>
      </c>
      <c r="G55" s="23">
        <f t="shared" si="10"/>
        <v>1.6165980105977377E-5</v>
      </c>
      <c r="H55" s="23">
        <f t="shared" si="11"/>
        <v>2.2442628405441605E-5</v>
      </c>
    </row>
    <row r="56" spans="1:11" ht="12.45" customHeight="1">
      <c r="A56" s="20">
        <v>5400</v>
      </c>
      <c r="B56" s="20">
        <f>A56/0.0254/12</f>
        <v>17716.535433070869</v>
      </c>
      <c r="C56" s="22">
        <f t="shared" si="6"/>
        <v>253.04999999999998</v>
      </c>
      <c r="D56" s="20">
        <f t="shared" si="7"/>
        <v>51195.700578073396</v>
      </c>
      <c r="E56" s="21">
        <f t="shared" si="8"/>
        <v>0.70478636590473787</v>
      </c>
      <c r="F56" s="22">
        <f t="shared" si="9"/>
        <v>319.23965565183158</v>
      </c>
      <c r="G56" s="23">
        <f t="shared" si="10"/>
        <v>1.6099580757769308E-5</v>
      </c>
      <c r="H56" s="23">
        <f t="shared" si="11"/>
        <v>2.2843206873195103E-5</v>
      </c>
    </row>
    <row r="57" spans="1:11" ht="12.45" customHeight="1">
      <c r="A57" s="26">
        <f>B57*0.0254*12</f>
        <v>5486.4</v>
      </c>
      <c r="B57" s="26">
        <v>18000</v>
      </c>
      <c r="C57" s="28">
        <f t="shared" si="6"/>
        <v>252.48839999999998</v>
      </c>
      <c r="D57" s="26">
        <f t="shared" si="7"/>
        <v>50601.352227054347</v>
      </c>
      <c r="E57" s="27">
        <f t="shared" si="8"/>
        <v>0.69815368998857397</v>
      </c>
      <c r="F57" s="28">
        <f t="shared" si="9"/>
        <v>318.88521073179544</v>
      </c>
      <c r="G57" s="29">
        <f t="shared" si="10"/>
        <v>1.6070847764225919E-5</v>
      </c>
      <c r="H57" s="29">
        <f t="shared" si="11"/>
        <v>2.3019068716071581E-5</v>
      </c>
    </row>
    <row r="58" spans="1:11" ht="12.45" customHeight="1">
      <c r="A58" s="20">
        <v>5600</v>
      </c>
      <c r="B58" s="20">
        <f>A58/0.0254/12</f>
        <v>18372.703412073493</v>
      </c>
      <c r="C58" s="22">
        <f t="shared" si="6"/>
        <v>251.74999999999997</v>
      </c>
      <c r="D58" s="20">
        <f t="shared" si="7"/>
        <v>49828.408990157994</v>
      </c>
      <c r="E58" s="21">
        <f t="shared" si="8"/>
        <v>0.68950574095729078</v>
      </c>
      <c r="F58" s="22">
        <f t="shared" si="9"/>
        <v>318.41858088764229</v>
      </c>
      <c r="G58" s="23">
        <f t="shared" si="10"/>
        <v>1.6033024526528639E-5</v>
      </c>
      <c r="H58" s="23">
        <f t="shared" si="11"/>
        <v>2.3252923904982762E-5</v>
      </c>
    </row>
    <row r="59" spans="1:11" ht="12.45" customHeight="1">
      <c r="A59" s="26">
        <f>B59*0.0254*12</f>
        <v>5791.2</v>
      </c>
      <c r="B59" s="26">
        <v>19000</v>
      </c>
      <c r="C59" s="28">
        <f t="shared" si="6"/>
        <v>250.50719999999998</v>
      </c>
      <c r="D59" s="26">
        <f t="shared" si="7"/>
        <v>48549.072344692293</v>
      </c>
      <c r="E59" s="27">
        <f t="shared" si="8"/>
        <v>0.67513569259922901</v>
      </c>
      <c r="F59" s="28">
        <f t="shared" si="9"/>
        <v>317.63164897738511</v>
      </c>
      <c r="G59" s="29">
        <f t="shared" si="10"/>
        <v>1.5969249289355718E-5</v>
      </c>
      <c r="H59" s="29">
        <f t="shared" si="11"/>
        <v>2.3653392146807016E-5</v>
      </c>
    </row>
    <row r="60" spans="1:11" ht="12.45" customHeight="1">
      <c r="A60" s="20">
        <v>5800</v>
      </c>
      <c r="B60" s="20">
        <f>A60/0.0254/12</f>
        <v>19028.871391076118</v>
      </c>
      <c r="C60" s="22">
        <f t="shared" si="6"/>
        <v>250.45</v>
      </c>
      <c r="D60" s="20">
        <f t="shared" si="7"/>
        <v>48490.837435312926</v>
      </c>
      <c r="E60" s="21">
        <f t="shared" si="8"/>
        <v>0.67447987174650714</v>
      </c>
      <c r="F60" s="22">
        <f t="shared" si="9"/>
        <v>317.59538341780097</v>
      </c>
      <c r="G60" s="23">
        <f t="shared" si="10"/>
        <v>1.5966310544359744E-5</v>
      </c>
      <c r="H60" s="23">
        <f t="shared" si="11"/>
        <v>2.3672034130561031E-5</v>
      </c>
    </row>
    <row r="61" spans="1:11" ht="12.45" customHeight="1">
      <c r="A61" s="20">
        <v>6000</v>
      </c>
      <c r="B61" s="20">
        <f>A61/0.0254/12</f>
        <v>19685.039370078743</v>
      </c>
      <c r="C61" s="22">
        <f t="shared" si="6"/>
        <v>249.14999999999998</v>
      </c>
      <c r="D61" s="20">
        <f t="shared" si="7"/>
        <v>47182.489157321368</v>
      </c>
      <c r="E61" s="21">
        <f t="shared" si="8"/>
        <v>0.6597058003723032</v>
      </c>
      <c r="F61" s="22">
        <f t="shared" si="9"/>
        <v>316.77004669333871</v>
      </c>
      <c r="G61" s="23">
        <f t="shared" si="10"/>
        <v>1.5899437937274252E-5</v>
      </c>
      <c r="H61" s="23">
        <f t="shared" si="11"/>
        <v>2.4100800581564458E-5</v>
      </c>
    </row>
    <row r="62" spans="1:11" s="30" customFormat="1" ht="12.45" customHeight="1">
      <c r="A62" s="26">
        <f>B62*0.0254*12</f>
        <v>6096</v>
      </c>
      <c r="B62" s="26">
        <v>20000</v>
      </c>
      <c r="C62" s="28">
        <f t="shared" si="6"/>
        <v>248.52599999999998</v>
      </c>
      <c r="D62" s="26">
        <f t="shared" si="7"/>
        <v>46564.717706517273</v>
      </c>
      <c r="E62" s="27">
        <f t="shared" si="8"/>
        <v>0.6527028210802136</v>
      </c>
      <c r="F62" s="28">
        <f t="shared" si="9"/>
        <v>316.37312028793468</v>
      </c>
      <c r="G62" s="29">
        <f t="shared" si="10"/>
        <v>1.586728248410944E-5</v>
      </c>
      <c r="H62" s="29">
        <f t="shared" si="11"/>
        <v>2.4310117823375299E-5</v>
      </c>
      <c r="K62" s="39"/>
    </row>
    <row r="63" spans="1:11" ht="12.45" customHeight="1">
      <c r="A63" s="20">
        <v>6200</v>
      </c>
      <c r="B63" s="20">
        <f>A63/0.0254/12</f>
        <v>20341.207349081367</v>
      </c>
      <c r="C63" s="22">
        <f t="shared" si="6"/>
        <v>247.84999999999997</v>
      </c>
      <c r="D63" s="20">
        <f t="shared" si="7"/>
        <v>45902.873182534277</v>
      </c>
      <c r="E63" s="21">
        <f t="shared" si="8"/>
        <v>0.64518058815254276</v>
      </c>
      <c r="F63" s="22">
        <f t="shared" si="9"/>
        <v>315.94255394913171</v>
      </c>
      <c r="G63" s="23">
        <f t="shared" si="10"/>
        <v>1.5832405825164943E-5</v>
      </c>
      <c r="H63" s="23">
        <f t="shared" si="11"/>
        <v>2.4539495012552395E-5</v>
      </c>
    </row>
    <row r="64" spans="1:11" ht="12.45" customHeight="1">
      <c r="A64" s="20">
        <v>6400</v>
      </c>
      <c r="B64" s="20">
        <f>A64/0.0254/12</f>
        <v>20997.375328083992</v>
      </c>
      <c r="C64" s="22">
        <f t="shared" si="6"/>
        <v>246.54999999999998</v>
      </c>
      <c r="D64" s="20">
        <f t="shared" si="7"/>
        <v>44651.504282202441</v>
      </c>
      <c r="E64" s="21">
        <f t="shared" si="8"/>
        <v>0.63090131559746854</v>
      </c>
      <c r="F64" s="22">
        <f t="shared" si="9"/>
        <v>315.11288819992745</v>
      </c>
      <c r="G64" s="23">
        <f t="shared" si="10"/>
        <v>1.5765213321780666E-5</v>
      </c>
      <c r="H64" s="23">
        <f t="shared" si="11"/>
        <v>2.4988398236023465E-5</v>
      </c>
    </row>
    <row r="65" spans="1:11" ht="12.45" customHeight="1">
      <c r="A65" s="26">
        <f>B65*0.0254*12</f>
        <v>6400.7999999999993</v>
      </c>
      <c r="B65" s="26">
        <v>21000</v>
      </c>
      <c r="C65" s="28">
        <f t="shared" si="6"/>
        <v>246.54479999999998</v>
      </c>
      <c r="D65" s="26">
        <f t="shared" si="7"/>
        <v>44646.554881624725</v>
      </c>
      <c r="E65" s="27">
        <f t="shared" si="8"/>
        <v>0.63084468845736763</v>
      </c>
      <c r="F65" s="28">
        <f t="shared" si="9"/>
        <v>315.10956515052857</v>
      </c>
      <c r="G65" s="29">
        <f t="shared" si="10"/>
        <v>1.5764944228506469E-5</v>
      </c>
      <c r="H65" s="29">
        <f t="shared" si="11"/>
        <v>2.4990214734243356E-5</v>
      </c>
    </row>
    <row r="66" spans="1:11" s="40" customFormat="1" ht="12.45" customHeight="1">
      <c r="A66" s="20">
        <v>6600</v>
      </c>
      <c r="B66" s="20">
        <f>A66/0.0254/12</f>
        <v>21653.543307086617</v>
      </c>
      <c r="C66" s="22">
        <f t="shared" ref="C66:C97" si="12">T0-Lapse_rate/1000*MIN(Tropopause,A66)</f>
        <v>245.24999999999997</v>
      </c>
      <c r="D66" s="20">
        <f t="shared" ref="D66:D97" si="13">Rair*E66*C66</f>
        <v>43427.902934859179</v>
      </c>
      <c r="E66" s="21">
        <f t="shared" ref="E66:E97" si="14">r0*POWER(C66/T0,(g/Rair/(Lapse_rate/1000))-1)</f>
        <v>0.61686508238403981</v>
      </c>
      <c r="F66" s="22">
        <f t="shared" ref="F66:F97" si="15">SQRT(1.403*Rair*C66)</f>
        <v>314.28103223627733</v>
      </c>
      <c r="G66" s="23">
        <f t="shared" ref="G66:G97" si="16">m0*POWER(C66/T0,1.5)*(T0+110.4)/(C66+110.4)</f>
        <v>1.5697859534702235E-5</v>
      </c>
      <c r="H66" s="23">
        <f t="shared" ref="H66:H97" si="17">G66/E66</f>
        <v>2.5447800472079997E-5</v>
      </c>
      <c r="J66" s="24"/>
      <c r="K66" s="38"/>
    </row>
    <row r="67" spans="1:11" s="30" customFormat="1" ht="12.45" customHeight="1">
      <c r="A67" s="26">
        <f>B67*0.0254*12</f>
        <v>6705.5999999999995</v>
      </c>
      <c r="B67" s="26">
        <v>22000</v>
      </c>
      <c r="C67" s="28">
        <f t="shared" si="12"/>
        <v>244.56359999999998</v>
      </c>
      <c r="D67" s="26">
        <f t="shared" si="13"/>
        <v>42792.881331787765</v>
      </c>
      <c r="E67" s="27">
        <f t="shared" si="14"/>
        <v>0.60955101122062183</v>
      </c>
      <c r="F67" s="28">
        <f t="shared" si="15"/>
        <v>313.84092285421667</v>
      </c>
      <c r="G67" s="29">
        <f t="shared" si="16"/>
        <v>1.566223136936179E-5</v>
      </c>
      <c r="H67" s="29">
        <f t="shared" si="17"/>
        <v>2.5694701642768627E-5</v>
      </c>
      <c r="K67" s="39"/>
    </row>
    <row r="68" spans="1:11" s="41" customFormat="1" ht="12.45" customHeight="1">
      <c r="A68" s="20">
        <v>6800</v>
      </c>
      <c r="B68" s="20">
        <f>A68/0.0254/12</f>
        <v>22309.711286089238</v>
      </c>
      <c r="C68" s="22">
        <f t="shared" si="12"/>
        <v>243.95</v>
      </c>
      <c r="D68" s="20">
        <f t="shared" si="13"/>
        <v>42231.595288753422</v>
      </c>
      <c r="E68" s="21">
        <f t="shared" si="14"/>
        <v>0.60306900733016788</v>
      </c>
      <c r="F68" s="22">
        <f t="shared" si="15"/>
        <v>313.44696862037125</v>
      </c>
      <c r="G68" s="23">
        <f t="shared" si="16"/>
        <v>1.5630343565319533E-5</v>
      </c>
      <c r="H68" s="23">
        <f t="shared" si="17"/>
        <v>2.5918001713462686E-5</v>
      </c>
      <c r="J68" s="24"/>
      <c r="K68" s="38"/>
    </row>
    <row r="69" spans="1:11" ht="12.45" customHeight="1">
      <c r="A69" s="20">
        <v>7000</v>
      </c>
      <c r="B69" s="20">
        <f>A69/0.0254/12</f>
        <v>22965.879265091862</v>
      </c>
      <c r="C69" s="22">
        <f t="shared" si="12"/>
        <v>242.64999999999998</v>
      </c>
      <c r="D69" s="20">
        <f t="shared" si="13"/>
        <v>41062.113124333038</v>
      </c>
      <c r="E69" s="21">
        <f t="shared" si="14"/>
        <v>0.58951022836884615</v>
      </c>
      <c r="F69" s="22">
        <f t="shared" si="15"/>
        <v>312.61067968177287</v>
      </c>
      <c r="G69" s="23">
        <f t="shared" si="16"/>
        <v>1.5562664508809687E-5</v>
      </c>
      <c r="H69" s="23">
        <f t="shared" si="17"/>
        <v>2.6399312106714462E-5</v>
      </c>
      <c r="J69" s="40"/>
      <c r="K69" s="42"/>
    </row>
    <row r="70" spans="1:11" ht="12.45" customHeight="1">
      <c r="A70" s="26">
        <f>B70*0.0254*12</f>
        <v>7010.4</v>
      </c>
      <c r="B70" s="26">
        <v>23000</v>
      </c>
      <c r="C70" s="28">
        <f t="shared" si="12"/>
        <v>242.58239999999998</v>
      </c>
      <c r="D70" s="26">
        <f t="shared" si="13"/>
        <v>41002.025102512227</v>
      </c>
      <c r="E70" s="27">
        <f t="shared" si="14"/>
        <v>0.58881160911239694</v>
      </c>
      <c r="F70" s="28">
        <f t="shared" si="15"/>
        <v>312.56713145597632</v>
      </c>
      <c r="G70" s="29">
        <f t="shared" si="16"/>
        <v>1.5559140720095029E-5</v>
      </c>
      <c r="H70" s="29">
        <f t="shared" si="17"/>
        <v>2.6424650056661806E-5</v>
      </c>
    </row>
    <row r="71" spans="1:11" s="40" customFormat="1" ht="12.45" customHeight="1">
      <c r="A71" s="20">
        <v>7200</v>
      </c>
      <c r="B71" s="20">
        <f>A71/0.0254/12</f>
        <v>23622.047244094487</v>
      </c>
      <c r="C71" s="22">
        <f t="shared" si="12"/>
        <v>241.34999999999997</v>
      </c>
      <c r="D71" s="20">
        <f t="shared" si="13"/>
        <v>39918.993816779701</v>
      </c>
      <c r="E71" s="21">
        <f t="shared" si="14"/>
        <v>0.5761859025221866</v>
      </c>
      <c r="F71" s="22">
        <f t="shared" si="15"/>
        <v>311.77214751305155</v>
      </c>
      <c r="G71" s="23">
        <f t="shared" si="16"/>
        <v>1.5494821454116586E-5</v>
      </c>
      <c r="H71" s="23">
        <f t="shared" si="17"/>
        <v>2.6892052350274126E-5</v>
      </c>
      <c r="J71" s="41"/>
      <c r="K71" s="43"/>
    </row>
    <row r="72" spans="1:11" s="30" customFormat="1" ht="12.45" customHeight="1">
      <c r="A72" s="26">
        <f>B72*0.0254*12</f>
        <v>7315.2000000000007</v>
      </c>
      <c r="B72" s="26">
        <v>24000</v>
      </c>
      <c r="C72" s="28">
        <f t="shared" si="12"/>
        <v>240.60119999999998</v>
      </c>
      <c r="D72" s="26">
        <f t="shared" si="13"/>
        <v>39272.344514725664</v>
      </c>
      <c r="E72" s="27">
        <f t="shared" si="14"/>
        <v>0.56861640491472842</v>
      </c>
      <c r="F72" s="28">
        <f t="shared" si="15"/>
        <v>311.28812774541979</v>
      </c>
      <c r="G72" s="29">
        <f t="shared" si="16"/>
        <v>1.5455669060554335E-5</v>
      </c>
      <c r="H72" s="29">
        <f t="shared" si="17"/>
        <v>2.7181187399741161E-5</v>
      </c>
      <c r="K72" s="39"/>
    </row>
    <row r="73" spans="1:11" s="41" customFormat="1" ht="12.45" customHeight="1">
      <c r="A73" s="20">
        <v>7400</v>
      </c>
      <c r="B73" s="20">
        <f>A73/0.0254/12</f>
        <v>24278.215223097111</v>
      </c>
      <c r="C73" s="22">
        <f t="shared" si="12"/>
        <v>240.04999999999998</v>
      </c>
      <c r="D73" s="20">
        <f t="shared" si="13"/>
        <v>38801.780298594073</v>
      </c>
      <c r="E73" s="21">
        <f t="shared" si="14"/>
        <v>0.56309320587534384</v>
      </c>
      <c r="F73" s="22">
        <f t="shared" si="15"/>
        <v>310.93135396530852</v>
      </c>
      <c r="G73" s="23">
        <f t="shared" si="16"/>
        <v>1.5426813483931659E-5</v>
      </c>
      <c r="H73" s="23">
        <f t="shared" si="17"/>
        <v>2.7396554110345291E-5</v>
      </c>
      <c r="J73" s="24"/>
      <c r="K73" s="38"/>
    </row>
    <row r="74" spans="1:11" ht="12.45" customHeight="1">
      <c r="A74" s="20">
        <v>7600</v>
      </c>
      <c r="B74" s="20">
        <f>A74/0.0254/12</f>
        <v>24934.38320209974</v>
      </c>
      <c r="C74" s="22">
        <f t="shared" si="12"/>
        <v>238.74999999999997</v>
      </c>
      <c r="D74" s="20">
        <f t="shared" si="13"/>
        <v>37710.02102223262</v>
      </c>
      <c r="E74" s="21">
        <f t="shared" si="14"/>
        <v>0.55022933355034076</v>
      </c>
      <c r="F74" s="22">
        <f t="shared" si="15"/>
        <v>310.08828064359346</v>
      </c>
      <c r="G74" s="23">
        <f t="shared" si="16"/>
        <v>1.5358639674676097E-5</v>
      </c>
      <c r="H74" s="23">
        <f t="shared" si="17"/>
        <v>2.7913160455432038E-5</v>
      </c>
      <c r="J74" s="40"/>
      <c r="K74" s="42"/>
    </row>
    <row r="75" spans="1:11" ht="12.45" customHeight="1">
      <c r="A75" s="26">
        <f>B75*0.0254*12</f>
        <v>7620</v>
      </c>
      <c r="B75" s="26">
        <v>25000</v>
      </c>
      <c r="C75" s="28">
        <f t="shared" si="12"/>
        <v>238.61999999999998</v>
      </c>
      <c r="D75" s="26">
        <f t="shared" si="13"/>
        <v>37602.227857104997</v>
      </c>
      <c r="E75" s="27">
        <f t="shared" si="14"/>
        <v>0.54895542423510979</v>
      </c>
      <c r="F75" s="28">
        <f t="shared" si="15"/>
        <v>310.00384720819187</v>
      </c>
      <c r="G75" s="29">
        <f t="shared" si="16"/>
        <v>1.5351813136856384E-5</v>
      </c>
      <c r="H75" s="29">
        <f t="shared" si="17"/>
        <v>2.7965500401506955E-5</v>
      </c>
    </row>
    <row r="76" spans="1:11" s="40" customFormat="1" ht="12.45" customHeight="1">
      <c r="A76" s="20">
        <v>7800</v>
      </c>
      <c r="B76" s="20">
        <f>A76/0.0254/12</f>
        <v>25590.551181102364</v>
      </c>
      <c r="C76" s="22">
        <f t="shared" si="12"/>
        <v>237.45</v>
      </c>
      <c r="D76" s="20">
        <f t="shared" si="13"/>
        <v>36643.269922795909</v>
      </c>
      <c r="E76" s="21">
        <f t="shared" si="14"/>
        <v>0.53759149967978836</v>
      </c>
      <c r="F76" s="22">
        <f t="shared" si="15"/>
        <v>309.24290890220908</v>
      </c>
      <c r="G76" s="23">
        <f t="shared" si="16"/>
        <v>1.5290299096484536E-5</v>
      </c>
      <c r="H76" s="23">
        <f t="shared" si="17"/>
        <v>2.8442226310483086E-5</v>
      </c>
      <c r="J76" s="41"/>
      <c r="K76" s="43"/>
    </row>
    <row r="77" spans="1:11" s="30" customFormat="1" ht="12.45" customHeight="1">
      <c r="A77" s="26">
        <f>B77*0.0254*12</f>
        <v>7924.7999999999993</v>
      </c>
      <c r="B77" s="26">
        <v>26000</v>
      </c>
      <c r="C77" s="28">
        <f t="shared" si="12"/>
        <v>236.63879999999997</v>
      </c>
      <c r="D77" s="26">
        <f t="shared" si="13"/>
        <v>35990.093079045837</v>
      </c>
      <c r="E77" s="27">
        <f t="shared" si="14"/>
        <v>0.52981879529102416</v>
      </c>
      <c r="F77" s="28">
        <f t="shared" si="15"/>
        <v>308.714223987997</v>
      </c>
      <c r="G77" s="29">
        <f t="shared" si="16"/>
        <v>1.5247569661244032E-5</v>
      </c>
      <c r="H77" s="29">
        <f t="shared" si="17"/>
        <v>2.8778838721394726E-5</v>
      </c>
      <c r="K77" s="39"/>
    </row>
    <row r="78" spans="1:11" s="41" customFormat="1" ht="12.45" customHeight="1">
      <c r="A78" s="20">
        <v>8000</v>
      </c>
      <c r="B78" s="20">
        <f>A78/0.0254/12</f>
        <v>26246.719160104989</v>
      </c>
      <c r="C78" s="22">
        <f t="shared" si="12"/>
        <v>236.14999999999998</v>
      </c>
      <c r="D78" s="20">
        <f t="shared" si="13"/>
        <v>35601.086380768225</v>
      </c>
      <c r="E78" s="21">
        <f t="shared" si="14"/>
        <v>0.52517693738049642</v>
      </c>
      <c r="F78" s="22">
        <f t="shared" si="15"/>
        <v>308.39521983989954</v>
      </c>
      <c r="G78" s="23">
        <f t="shared" si="16"/>
        <v>1.522179081319033E-5</v>
      </c>
      <c r="H78" s="23">
        <f t="shared" si="17"/>
        <v>2.8984118931639181E-5</v>
      </c>
      <c r="J78" s="24"/>
      <c r="K78" s="38"/>
    </row>
    <row r="79" spans="1:11" ht="12.45" customHeight="1">
      <c r="A79" s="20">
        <v>8200</v>
      </c>
      <c r="B79" s="20">
        <f>A79/0.0254/12</f>
        <v>26902.887139107614</v>
      </c>
      <c r="C79" s="22">
        <f t="shared" si="12"/>
        <v>234.84999999999997</v>
      </c>
      <c r="D79" s="20">
        <f t="shared" si="13"/>
        <v>34583.035184809429</v>
      </c>
      <c r="E79" s="21">
        <f t="shared" si="14"/>
        <v>0.51298289872698044</v>
      </c>
      <c r="F79" s="22">
        <f t="shared" si="15"/>
        <v>307.54519429491984</v>
      </c>
      <c r="G79" s="23">
        <f t="shared" si="16"/>
        <v>1.5153113882312443E-5</v>
      </c>
      <c r="H79" s="23">
        <f t="shared" si="17"/>
        <v>2.9539218402633784E-5</v>
      </c>
      <c r="J79" s="40"/>
      <c r="K79" s="42"/>
    </row>
    <row r="80" spans="1:11" ht="12.45" customHeight="1">
      <c r="A80" s="26">
        <f>B80*0.0254*12</f>
        <v>8229.5999999999985</v>
      </c>
      <c r="B80" s="26">
        <v>27000</v>
      </c>
      <c r="C80" s="28">
        <f t="shared" si="12"/>
        <v>234.6576</v>
      </c>
      <c r="D80" s="26">
        <f t="shared" si="13"/>
        <v>34434.387484278239</v>
      </c>
      <c r="E80" s="27">
        <f t="shared" si="14"/>
        <v>0.51119674869315745</v>
      </c>
      <c r="F80" s="28">
        <f t="shared" si="15"/>
        <v>307.41919084719223</v>
      </c>
      <c r="G80" s="29">
        <f t="shared" si="16"/>
        <v>1.5142935311963267E-5</v>
      </c>
      <c r="H80" s="29">
        <f t="shared" si="17"/>
        <v>2.962251882601999E-5</v>
      </c>
    </row>
    <row r="81" spans="1:11" s="40" customFormat="1" ht="12.45" customHeight="1">
      <c r="A81" s="20">
        <v>8400</v>
      </c>
      <c r="B81" s="20">
        <f>A81/0.0254/12</f>
        <v>27559.055118110238</v>
      </c>
      <c r="C81" s="22">
        <f t="shared" si="12"/>
        <v>233.54999999999998</v>
      </c>
      <c r="D81" s="20">
        <f t="shared" si="13"/>
        <v>33588.686494598638</v>
      </c>
      <c r="E81" s="21">
        <f t="shared" si="14"/>
        <v>0.50100665472485961</v>
      </c>
      <c r="F81" s="22">
        <f t="shared" si="15"/>
        <v>306.69281283998163</v>
      </c>
      <c r="G81" s="23">
        <f t="shared" si="16"/>
        <v>1.5084267355044179E-5</v>
      </c>
      <c r="H81" s="23">
        <f t="shared" si="17"/>
        <v>3.0107918153957623E-5</v>
      </c>
      <c r="J81" s="41"/>
      <c r="K81" s="43"/>
    </row>
    <row r="82" spans="1:11" s="30" customFormat="1" ht="12.45" customHeight="1">
      <c r="A82" s="26">
        <f>B82*0.0254*12</f>
        <v>8534.4</v>
      </c>
      <c r="B82" s="26">
        <v>28000</v>
      </c>
      <c r="C82" s="28">
        <f t="shared" si="12"/>
        <v>232.67639999999997</v>
      </c>
      <c r="D82" s="26">
        <f t="shared" si="13"/>
        <v>32933.587425131969</v>
      </c>
      <c r="E82" s="27">
        <f t="shared" si="14"/>
        <v>0.49307961722726079</v>
      </c>
      <c r="F82" s="28">
        <f t="shared" si="15"/>
        <v>306.11867912588019</v>
      </c>
      <c r="G82" s="29">
        <f t="shared" si="16"/>
        <v>1.5037906733160945E-5</v>
      </c>
      <c r="H82" s="29">
        <f t="shared" si="17"/>
        <v>3.0497928139321082E-5</v>
      </c>
      <c r="K82" s="39"/>
    </row>
    <row r="83" spans="1:11" s="41" customFormat="1" ht="12.45" customHeight="1">
      <c r="A83" s="20">
        <v>8600</v>
      </c>
      <c r="B83" s="20">
        <f>A83/0.0254/12</f>
        <v>28215.223097112863</v>
      </c>
      <c r="C83" s="22">
        <f t="shared" si="12"/>
        <v>232.24999999999997</v>
      </c>
      <c r="D83" s="20">
        <f t="shared" si="13"/>
        <v>32617.615803730201</v>
      </c>
      <c r="E83" s="21">
        <f t="shared" si="14"/>
        <v>0.48924549528414246</v>
      </c>
      <c r="F83" s="22">
        <f t="shared" si="15"/>
        <v>305.83805577707295</v>
      </c>
      <c r="G83" s="23">
        <f t="shared" si="16"/>
        <v>1.5015250276243634E-5</v>
      </c>
      <c r="H83" s="23">
        <f t="shared" si="17"/>
        <v>3.0690625505960205E-5</v>
      </c>
      <c r="J83" s="24"/>
      <c r="K83" s="38"/>
    </row>
    <row r="84" spans="1:11" ht="12.45" customHeight="1">
      <c r="A84" s="20">
        <v>8800</v>
      </c>
      <c r="B84" s="20">
        <f>A84/0.0254/12</f>
        <v>28871.391076115488</v>
      </c>
      <c r="C84" s="22">
        <f t="shared" si="12"/>
        <v>230.95</v>
      </c>
      <c r="D84" s="20">
        <f t="shared" si="13"/>
        <v>31669.40390266242</v>
      </c>
      <c r="E84" s="21">
        <f t="shared" si="14"/>
        <v>0.4776967291924088</v>
      </c>
      <c r="F84" s="22">
        <f t="shared" si="15"/>
        <v>304.98090313214692</v>
      </c>
      <c r="G84" s="23">
        <f t="shared" si="16"/>
        <v>1.4946061684426241E-5</v>
      </c>
      <c r="H84" s="23">
        <f t="shared" si="17"/>
        <v>3.1287762237128905E-5</v>
      </c>
      <c r="J84" s="40"/>
      <c r="K84" s="42"/>
    </row>
    <row r="85" spans="1:11" ht="12.45" customHeight="1">
      <c r="A85" s="26">
        <f>B85*0.0254*12</f>
        <v>8839.2000000000007</v>
      </c>
      <c r="B85" s="26">
        <v>29000</v>
      </c>
      <c r="C85" s="28">
        <f t="shared" si="12"/>
        <v>230.69519999999997</v>
      </c>
      <c r="D85" s="26">
        <f t="shared" si="13"/>
        <v>31486.197997456453</v>
      </c>
      <c r="E85" s="27">
        <f t="shared" si="14"/>
        <v>0.47545783563465832</v>
      </c>
      <c r="F85" s="28">
        <f t="shared" si="15"/>
        <v>304.81261869943108</v>
      </c>
      <c r="G85" s="29">
        <f t="shared" si="16"/>
        <v>1.4932480534805448E-5</v>
      </c>
      <c r="H85" s="29">
        <f t="shared" si="17"/>
        <v>3.1406529487253125E-5</v>
      </c>
    </row>
    <row r="86" spans="1:11" s="40" customFormat="1" ht="12.45" customHeight="1">
      <c r="A86" s="20">
        <v>9000</v>
      </c>
      <c r="B86" s="20">
        <f>A86/0.0254/12</f>
        <v>29527.559055118112</v>
      </c>
      <c r="C86" s="22">
        <f t="shared" si="12"/>
        <v>229.64999999999998</v>
      </c>
      <c r="D86" s="20">
        <f t="shared" si="13"/>
        <v>30743.636841718591</v>
      </c>
      <c r="E86" s="21">
        <f t="shared" si="14"/>
        <v>0.46635768408787265</v>
      </c>
      <c r="F86" s="22">
        <f t="shared" si="15"/>
        <v>304.12133464967565</v>
      </c>
      <c r="G86" s="23">
        <f t="shared" si="16"/>
        <v>1.4876700611759285E-5</v>
      </c>
      <c r="H86" s="23">
        <f t="shared" si="17"/>
        <v>3.1899765178858224E-5</v>
      </c>
      <c r="J86" s="41"/>
      <c r="K86" s="43"/>
    </row>
    <row r="87" spans="1:11" s="30" customFormat="1" ht="12.45" customHeight="1">
      <c r="A87" s="26">
        <f>B87*0.0254*12</f>
        <v>9144</v>
      </c>
      <c r="B87" s="26">
        <v>30000</v>
      </c>
      <c r="C87" s="28">
        <f t="shared" si="12"/>
        <v>228.71399999999997</v>
      </c>
      <c r="D87" s="26">
        <f t="shared" si="13"/>
        <v>30090.752736198156</v>
      </c>
      <c r="E87" s="27">
        <f t="shared" si="14"/>
        <v>0.4583219403913612</v>
      </c>
      <c r="F87" s="28">
        <f t="shared" si="15"/>
        <v>303.50093793435957</v>
      </c>
      <c r="G87" s="29">
        <f t="shared" si="16"/>
        <v>1.4826653292631889E-5</v>
      </c>
      <c r="H87" s="29">
        <f t="shared" si="17"/>
        <v>3.2349865860603151E-5</v>
      </c>
      <c r="K87" s="39"/>
    </row>
    <row r="88" spans="1:11" s="41" customFormat="1" ht="12.45" customHeight="1">
      <c r="A88" s="20">
        <v>9200</v>
      </c>
      <c r="B88" s="20">
        <f>A88/0.0254/12</f>
        <v>30183.727034120737</v>
      </c>
      <c r="C88" s="22">
        <f t="shared" si="12"/>
        <v>228.34999999999997</v>
      </c>
      <c r="D88" s="20">
        <f t="shared" si="13"/>
        <v>29839.90589414131</v>
      </c>
      <c r="E88" s="21">
        <f t="shared" si="14"/>
        <v>0.45522570643233823</v>
      </c>
      <c r="F88" s="22">
        <f t="shared" si="15"/>
        <v>303.25932978706521</v>
      </c>
      <c r="G88" s="23">
        <f t="shared" si="16"/>
        <v>1.4807166084058602E-5</v>
      </c>
      <c r="H88" s="23">
        <f t="shared" si="17"/>
        <v>3.2527086838096747E-5</v>
      </c>
      <c r="J88" s="24"/>
      <c r="K88" s="38"/>
    </row>
    <row r="89" spans="1:11" ht="12.45" customHeight="1">
      <c r="A89" s="20">
        <v>9400</v>
      </c>
      <c r="B89" s="20">
        <f>A89/0.0254/12</f>
        <v>30839.895013123361</v>
      </c>
      <c r="C89" s="22">
        <f t="shared" si="12"/>
        <v>227.04999999999998</v>
      </c>
      <c r="D89" s="20">
        <f t="shared" si="13"/>
        <v>28957.80751919984</v>
      </c>
      <c r="E89" s="21">
        <f t="shared" si="14"/>
        <v>0.44429816148404089</v>
      </c>
      <c r="F89" s="22">
        <f t="shared" si="15"/>
        <v>302.39486770892785</v>
      </c>
      <c r="G89" s="23">
        <f t="shared" si="16"/>
        <v>1.4737457120787628E-5</v>
      </c>
      <c r="H89" s="23">
        <f t="shared" si="17"/>
        <v>3.3170196049341504E-5</v>
      </c>
      <c r="J89" s="40"/>
      <c r="K89" s="42"/>
    </row>
    <row r="90" spans="1:11" ht="12.45" customHeight="1">
      <c r="A90" s="26">
        <f>B90*0.0254*12</f>
        <v>9448.7999999999993</v>
      </c>
      <c r="B90" s="26">
        <v>31000</v>
      </c>
      <c r="C90" s="28">
        <f t="shared" si="12"/>
        <v>226.7328</v>
      </c>
      <c r="D90" s="26">
        <f t="shared" si="13"/>
        <v>28745.813311640908</v>
      </c>
      <c r="E90" s="27">
        <f t="shared" si="14"/>
        <v>0.44166256948578658</v>
      </c>
      <c r="F90" s="28">
        <f t="shared" si="15"/>
        <v>302.1835636424774</v>
      </c>
      <c r="G90" s="29">
        <f t="shared" si="16"/>
        <v>1.4720421548114193E-5</v>
      </c>
      <c r="H90" s="29">
        <f t="shared" si="17"/>
        <v>3.3329565521598767E-5</v>
      </c>
    </row>
    <row r="91" spans="1:11" s="40" customFormat="1" ht="12.45" customHeight="1">
      <c r="A91" s="20">
        <v>9600</v>
      </c>
      <c r="B91" s="20">
        <f>A91/0.0254/12</f>
        <v>31496.062992125986</v>
      </c>
      <c r="C91" s="22">
        <f t="shared" si="12"/>
        <v>225.74999999999997</v>
      </c>
      <c r="D91" s="20">
        <f t="shared" si="13"/>
        <v>28096.94332535072</v>
      </c>
      <c r="E91" s="21">
        <f t="shared" si="14"/>
        <v>0.43357243327037165</v>
      </c>
      <c r="F91" s="22">
        <f t="shared" si="15"/>
        <v>301.52792728120556</v>
      </c>
      <c r="G91" s="23">
        <f t="shared" si="16"/>
        <v>1.4667572735058788E-5</v>
      </c>
      <c r="H91" s="23">
        <f t="shared" si="17"/>
        <v>3.3829578657534782E-5</v>
      </c>
      <c r="J91" s="41"/>
      <c r="K91" s="43"/>
    </row>
    <row r="92" spans="1:11" s="30" customFormat="1" ht="12.45" customHeight="1">
      <c r="A92" s="26">
        <f>B92*0.0254*12</f>
        <v>9753.5999999999985</v>
      </c>
      <c r="B92" s="26">
        <v>32000</v>
      </c>
      <c r="C92" s="28">
        <f t="shared" si="12"/>
        <v>224.7516</v>
      </c>
      <c r="D92" s="26">
        <f t="shared" si="13"/>
        <v>27449.969226312354</v>
      </c>
      <c r="E92" s="27">
        <f t="shared" si="14"/>
        <v>0.42547046219504464</v>
      </c>
      <c r="F92" s="28">
        <f t="shared" si="15"/>
        <v>300.8604210332399</v>
      </c>
      <c r="G92" s="29">
        <f t="shared" si="16"/>
        <v>1.4613781808466179E-5</v>
      </c>
      <c r="H92" s="29">
        <f t="shared" si="17"/>
        <v>3.434734748229576E-5</v>
      </c>
      <c r="K92" s="39"/>
    </row>
    <row r="93" spans="1:11" s="41" customFormat="1" ht="12.45" customHeight="1">
      <c r="A93" s="20">
        <v>9800</v>
      </c>
      <c r="B93" s="20">
        <f>A93/0.0254/12</f>
        <v>32152.230971128611</v>
      </c>
      <c r="C93" s="22">
        <f t="shared" si="12"/>
        <v>224.45</v>
      </c>
      <c r="D93" s="20">
        <f t="shared" si="13"/>
        <v>27256.920033452203</v>
      </c>
      <c r="E93" s="21">
        <f t="shared" si="14"/>
        <v>0.42304592456048867</v>
      </c>
      <c r="F93" s="22">
        <f t="shared" si="15"/>
        <v>300.65848706514174</v>
      </c>
      <c r="G93" s="23">
        <f t="shared" si="16"/>
        <v>1.4597511933637454E-5</v>
      </c>
      <c r="H93" s="23">
        <f t="shared" si="17"/>
        <v>3.4505738233510031E-5</v>
      </c>
      <c r="J93" s="24"/>
      <c r="K93" s="38"/>
    </row>
    <row r="94" spans="1:11" ht="12.45" customHeight="1">
      <c r="A94" s="20">
        <v>10000</v>
      </c>
      <c r="B94" s="20">
        <f>A94/0.0254/12</f>
        <v>32808.398950131239</v>
      </c>
      <c r="C94" s="22">
        <f t="shared" si="12"/>
        <v>223.14999999999998</v>
      </c>
      <c r="D94" s="20">
        <f t="shared" si="13"/>
        <v>26437.349440032347</v>
      </c>
      <c r="E94" s="21">
        <f t="shared" si="14"/>
        <v>0.41271605683780954</v>
      </c>
      <c r="F94" s="22">
        <f t="shared" si="15"/>
        <v>299.78652531109532</v>
      </c>
      <c r="G94" s="23">
        <f t="shared" si="16"/>
        <v>1.4527273716948629E-5</v>
      </c>
      <c r="H94" s="23">
        <f t="shared" si="17"/>
        <v>3.5199196823732022E-5</v>
      </c>
      <c r="J94" s="40"/>
      <c r="K94" s="42"/>
    </row>
    <row r="95" spans="1:11" ht="12.45" customHeight="1">
      <c r="A95" s="26">
        <f>B95*0.0254*12</f>
        <v>10058.4</v>
      </c>
      <c r="B95" s="26">
        <v>33000</v>
      </c>
      <c r="C95" s="28">
        <f t="shared" si="12"/>
        <v>222.7704</v>
      </c>
      <c r="D95" s="26">
        <f t="shared" si="13"/>
        <v>26201.837512561502</v>
      </c>
      <c r="E95" s="27">
        <f t="shared" si="14"/>
        <v>0.40973645885978255</v>
      </c>
      <c r="F95" s="28">
        <f t="shared" si="15"/>
        <v>299.53143366419761</v>
      </c>
      <c r="G95" s="29">
        <f t="shared" si="16"/>
        <v>1.4506730546674068E-5</v>
      </c>
      <c r="H95" s="29">
        <f t="shared" si="17"/>
        <v>3.5405027385269783E-5</v>
      </c>
    </row>
    <row r="96" spans="1:11" s="40" customFormat="1" ht="12.45" customHeight="1">
      <c r="A96" s="20">
        <v>10200</v>
      </c>
      <c r="B96" s="20">
        <f>A96/0.0254/12</f>
        <v>33464.566929133864</v>
      </c>
      <c r="C96" s="22">
        <f t="shared" si="12"/>
        <v>221.84999999999997</v>
      </c>
      <c r="D96" s="20">
        <f t="shared" si="13"/>
        <v>25637.848380611358</v>
      </c>
      <c r="E96" s="21">
        <f t="shared" si="14"/>
        <v>0.40258027027238774</v>
      </c>
      <c r="F96" s="22">
        <f t="shared" si="15"/>
        <v>298.91201995219262</v>
      </c>
      <c r="G96" s="23">
        <f t="shared" si="16"/>
        <v>1.445685707908637E-5</v>
      </c>
      <c r="H96" s="23">
        <f t="shared" si="17"/>
        <v>3.5910495736179002E-5</v>
      </c>
      <c r="J96" s="41"/>
      <c r="K96" s="43"/>
    </row>
    <row r="97" spans="1:11" s="30" customFormat="1" ht="12.45" customHeight="1">
      <c r="A97" s="26">
        <f>B97*0.0254*12</f>
        <v>10363.199999999999</v>
      </c>
      <c r="B97" s="26">
        <v>34000</v>
      </c>
      <c r="C97" s="28">
        <f t="shared" si="12"/>
        <v>220.78919999999999</v>
      </c>
      <c r="D97" s="26">
        <f t="shared" si="13"/>
        <v>25000.062430811409</v>
      </c>
      <c r="E97" s="27">
        <f t="shared" si="14"/>
        <v>0.39445150065755896</v>
      </c>
      <c r="F97" s="28">
        <f t="shared" si="15"/>
        <v>298.19652338946003</v>
      </c>
      <c r="G97" s="29">
        <f t="shared" si="16"/>
        <v>1.4399264201563038E-5</v>
      </c>
      <c r="H97" s="29">
        <f t="shared" si="17"/>
        <v>3.6504523819935176E-5</v>
      </c>
      <c r="K97" s="39"/>
    </row>
    <row r="98" spans="1:11" ht="12.45" customHeight="1">
      <c r="A98" s="20">
        <v>10400</v>
      </c>
      <c r="B98" s="20">
        <f>A98/0.0254/12</f>
        <v>34120.734908136488</v>
      </c>
      <c r="C98" s="22">
        <f t="shared" ref="C98:C129" si="18">T0-Lapse_rate/1000*MIN(Tropopause,A98)</f>
        <v>220.54999999999998</v>
      </c>
      <c r="D98" s="20">
        <f t="shared" ref="D98:D129" si="19">Rair*E98*C98</f>
        <v>24858.038693077979</v>
      </c>
      <c r="E98" s="21">
        <f t="shared" ref="E98:E103" si="20">r0*POWER(C98/T0,(g/Rair/(Lapse_rate/1000))-1)</f>
        <v>0.39263602369316652</v>
      </c>
      <c r="F98" s="22">
        <f t="shared" ref="F98:F129" si="21">SQRT(1.403*Rair*C98)</f>
        <v>298.03494859781125</v>
      </c>
      <c r="G98" s="23">
        <f t="shared" ref="G98:G129" si="22">m0*POWER(C98/T0,1.5)*(T0+110.4)/(C98+110.4)</f>
        <v>1.4386261007826247E-5</v>
      </c>
      <c r="H98" s="23">
        <f t="shared" ref="H98:H129" si="23">G98/E98</f>
        <v>3.6640196364327198E-5</v>
      </c>
    </row>
    <row r="99" spans="1:11" s="41" customFormat="1" ht="12.45" customHeight="1">
      <c r="A99" s="20">
        <v>10600</v>
      </c>
      <c r="B99" s="20">
        <f>A99/0.0254/12</f>
        <v>34776.902887139113</v>
      </c>
      <c r="C99" s="22">
        <f t="shared" si="18"/>
        <v>219.25</v>
      </c>
      <c r="D99" s="20">
        <f t="shared" si="19"/>
        <v>24097.547181120648</v>
      </c>
      <c r="E99" s="21">
        <f t="shared" si="20"/>
        <v>0.38288079456011542</v>
      </c>
      <c r="F99" s="22">
        <f t="shared" si="21"/>
        <v>297.15528852689124</v>
      </c>
      <c r="G99" s="23">
        <f t="shared" si="22"/>
        <v>1.4315484484640885E-5</v>
      </c>
      <c r="H99" s="23">
        <f t="shared" si="23"/>
        <v>3.7388881051314359E-5</v>
      </c>
      <c r="J99" s="40"/>
      <c r="K99" s="42"/>
    </row>
    <row r="100" spans="1:11" ht="12.45" customHeight="1">
      <c r="A100" s="26">
        <f>B100*0.0254*12</f>
        <v>10668</v>
      </c>
      <c r="B100" s="26">
        <v>35000</v>
      </c>
      <c r="C100" s="28">
        <f t="shared" si="18"/>
        <v>218.80799999999999</v>
      </c>
      <c r="D100" s="26">
        <f t="shared" si="19"/>
        <v>23843.315168491332</v>
      </c>
      <c r="E100" s="27">
        <f t="shared" si="20"/>
        <v>0.37960662937472367</v>
      </c>
      <c r="F100" s="28">
        <f t="shared" si="21"/>
        <v>296.85561030607454</v>
      </c>
      <c r="G100" s="29">
        <f t="shared" si="22"/>
        <v>1.4291379177900508E-5</v>
      </c>
      <c r="H100" s="29">
        <f t="shared" si="23"/>
        <v>3.7647865110893418E-5</v>
      </c>
    </row>
    <row r="101" spans="1:11" s="40" customFormat="1" ht="12.45" customHeight="1">
      <c r="A101" s="20">
        <v>10800</v>
      </c>
      <c r="B101" s="20">
        <f>A101/0.0254/12</f>
        <v>35433.070866141737</v>
      </c>
      <c r="C101" s="22">
        <f t="shared" si="18"/>
        <v>217.95</v>
      </c>
      <c r="D101" s="20">
        <f t="shared" si="19"/>
        <v>23356.005577713287</v>
      </c>
      <c r="E101" s="21">
        <f t="shared" si="20"/>
        <v>0.37331207893624302</v>
      </c>
      <c r="F101" s="22">
        <f t="shared" si="21"/>
        <v>296.2730166810673</v>
      </c>
      <c r="G101" s="23">
        <f t="shared" si="22"/>
        <v>1.4244526484718804E-5</v>
      </c>
      <c r="H101" s="23">
        <f t="shared" si="23"/>
        <v>3.8157153996486645E-5</v>
      </c>
      <c r="J101" s="24"/>
      <c r="K101" s="38"/>
    </row>
    <row r="102" spans="1:11" s="30" customFormat="1" ht="12.45" customHeight="1">
      <c r="A102" s="26">
        <f>B102*0.0254*12</f>
        <v>10972.8</v>
      </c>
      <c r="B102" s="26">
        <v>36000</v>
      </c>
      <c r="C102" s="28">
        <f t="shared" si="18"/>
        <v>216.82679999999999</v>
      </c>
      <c r="D102" s="26">
        <f t="shared" si="19"/>
        <v>22730.293539653274</v>
      </c>
      <c r="E102" s="27">
        <f t="shared" si="20"/>
        <v>0.365192987176787</v>
      </c>
      <c r="F102" s="28">
        <f t="shared" si="21"/>
        <v>295.50861269821422</v>
      </c>
      <c r="G102" s="29">
        <f t="shared" si="22"/>
        <v>1.4183071846539192E-5</v>
      </c>
      <c r="H102" s="29">
        <f t="shared" si="23"/>
        <v>3.8837196618108331E-5</v>
      </c>
      <c r="J102" s="44"/>
      <c r="K102" s="45"/>
    </row>
    <row r="103" spans="1:11" ht="12.45" customHeight="1">
      <c r="A103" s="46">
        <v>11000</v>
      </c>
      <c r="B103" s="46">
        <f>A103/0.0254/12</f>
        <v>36089.238845144362</v>
      </c>
      <c r="C103" s="47">
        <f t="shared" si="18"/>
        <v>216.64999999999998</v>
      </c>
      <c r="D103" s="46">
        <f t="shared" si="19"/>
        <v>22633.050508656175</v>
      </c>
      <c r="E103" s="48">
        <f t="shared" si="20"/>
        <v>0.36392739145948749</v>
      </c>
      <c r="F103" s="47">
        <f t="shared" si="21"/>
        <v>295.38810965761633</v>
      </c>
      <c r="G103" s="49">
        <f t="shared" si="22"/>
        <v>1.417338597698673E-5</v>
      </c>
      <c r="H103" s="49">
        <f t="shared" si="23"/>
        <v>3.8945642206666698E-5</v>
      </c>
    </row>
    <row r="104" spans="1:11" s="41" customFormat="1" ht="12.45" customHeight="1">
      <c r="A104" s="20">
        <v>11200</v>
      </c>
      <c r="B104" s="20">
        <f>A104/0.0254/12</f>
        <v>36745.406824146987</v>
      </c>
      <c r="C104" s="22">
        <f t="shared" si="18"/>
        <v>216.64999999999998</v>
      </c>
      <c r="D104" s="20">
        <f t="shared" si="19"/>
        <v>21930.266952196635</v>
      </c>
      <c r="E104" s="21">
        <f t="shared" ref="E104:E135" si="24">$E$103*EXP(-9.80665*(A104-$A$103)/287/$C$103)</f>
        <v>0.35262700637153288</v>
      </c>
      <c r="F104" s="22">
        <f t="shared" si="21"/>
        <v>295.38810965761633</v>
      </c>
      <c r="G104" s="23">
        <f t="shared" si="22"/>
        <v>1.417338597698673E-5</v>
      </c>
      <c r="H104" s="23">
        <f t="shared" si="23"/>
        <v>4.0193705305864879E-5</v>
      </c>
      <c r="J104" s="40"/>
      <c r="K104" s="42"/>
    </row>
    <row r="105" spans="1:11" ht="12.45" customHeight="1">
      <c r="A105" s="26">
        <f>B105*0.0254*12</f>
        <v>11277.599999999999</v>
      </c>
      <c r="B105" s="26">
        <v>37000</v>
      </c>
      <c r="C105" s="28">
        <f t="shared" si="18"/>
        <v>216.64999999999998</v>
      </c>
      <c r="D105" s="26">
        <f t="shared" si="19"/>
        <v>21663.50075631955</v>
      </c>
      <c r="E105" s="27">
        <f t="shared" si="24"/>
        <v>0.34833754809643258</v>
      </c>
      <c r="F105" s="28">
        <f t="shared" si="21"/>
        <v>295.38810965761633</v>
      </c>
      <c r="G105" s="29">
        <f t="shared" si="22"/>
        <v>1.417338597698673E-5</v>
      </c>
      <c r="H105" s="29">
        <f t="shared" si="23"/>
        <v>4.0688654020906809E-5</v>
      </c>
    </row>
    <row r="106" spans="1:11" ht="12.45" customHeight="1">
      <c r="A106" s="20">
        <v>11400</v>
      </c>
      <c r="B106" s="20">
        <f>A106/0.0254/12</f>
        <v>37401.574803149611</v>
      </c>
      <c r="C106" s="22">
        <f t="shared" si="18"/>
        <v>216.64999999999998</v>
      </c>
      <c r="D106" s="20">
        <f t="shared" si="19"/>
        <v>21249.305674048232</v>
      </c>
      <c r="E106" s="21">
        <f t="shared" si="24"/>
        <v>0.34167751189014667</v>
      </c>
      <c r="F106" s="22">
        <f t="shared" si="21"/>
        <v>295.38810965761633</v>
      </c>
      <c r="G106" s="23">
        <f t="shared" si="22"/>
        <v>1.417338597698673E-5</v>
      </c>
      <c r="H106" s="23">
        <f t="shared" si="23"/>
        <v>4.1481764189220745E-5</v>
      </c>
    </row>
    <row r="107" spans="1:11" s="44" customFormat="1" ht="12.45" customHeight="1">
      <c r="A107" s="26">
        <f>B107*0.0254*12</f>
        <v>11582.4</v>
      </c>
      <c r="B107" s="26">
        <v>38000</v>
      </c>
      <c r="C107" s="28">
        <f t="shared" si="18"/>
        <v>216.64999999999998</v>
      </c>
      <c r="D107" s="26">
        <f t="shared" si="19"/>
        <v>20646.72136963025</v>
      </c>
      <c r="E107" s="27">
        <f t="shared" si="24"/>
        <v>0.33198827738075543</v>
      </c>
      <c r="F107" s="28">
        <f t="shared" si="21"/>
        <v>295.38810965761633</v>
      </c>
      <c r="G107" s="29">
        <f t="shared" si="22"/>
        <v>1.417338597698673E-5</v>
      </c>
      <c r="H107" s="29">
        <f t="shared" si="23"/>
        <v>4.2692429048424973E-5</v>
      </c>
      <c r="K107" s="45"/>
    </row>
    <row r="108" spans="1:11" ht="12.45" customHeight="1">
      <c r="A108" s="20">
        <v>11600</v>
      </c>
      <c r="B108" s="20">
        <f>A108/0.0254/12</f>
        <v>38057.742782152236</v>
      </c>
      <c r="C108" s="22">
        <f t="shared" si="18"/>
        <v>216.64999999999998</v>
      </c>
      <c r="D108" s="20">
        <f t="shared" si="19"/>
        <v>20589.489066110564</v>
      </c>
      <c r="E108" s="21">
        <f t="shared" si="24"/>
        <v>0.3310680124381587</v>
      </c>
      <c r="F108" s="22">
        <f t="shared" si="21"/>
        <v>295.38810965761633</v>
      </c>
      <c r="G108" s="23">
        <f t="shared" si="22"/>
        <v>1.417338597698673E-5</v>
      </c>
      <c r="H108" s="23">
        <f t="shared" si="23"/>
        <v>4.2811100572980378E-5</v>
      </c>
    </row>
    <row r="109" spans="1:11" ht="12.45" customHeight="1">
      <c r="A109" s="20">
        <v>11800</v>
      </c>
      <c r="B109" s="20">
        <f>A109/0.0254/12</f>
        <v>38713.910761154861</v>
      </c>
      <c r="C109" s="22">
        <f t="shared" si="18"/>
        <v>216.64999999999998</v>
      </c>
      <c r="D109" s="20">
        <f t="shared" si="19"/>
        <v>19950.16056083321</v>
      </c>
      <c r="E109" s="21">
        <f t="shared" si="24"/>
        <v>0.32078795075923061</v>
      </c>
      <c r="F109" s="22">
        <f t="shared" si="21"/>
        <v>295.38810965761633</v>
      </c>
      <c r="G109" s="23">
        <f t="shared" si="22"/>
        <v>1.417338597698673E-5</v>
      </c>
      <c r="H109" s="23">
        <f t="shared" si="23"/>
        <v>4.4183037247632327E-5</v>
      </c>
    </row>
    <row r="110" spans="1:11" ht="12.45" customHeight="1">
      <c r="A110" s="26">
        <f>B110*0.0254*12</f>
        <v>11887.199999999999</v>
      </c>
      <c r="B110" s="26">
        <v>39000</v>
      </c>
      <c r="C110" s="28">
        <f t="shared" si="18"/>
        <v>216.64999999999998</v>
      </c>
      <c r="D110" s="26">
        <f t="shared" si="19"/>
        <v>19677.664663260515</v>
      </c>
      <c r="E110" s="27">
        <f t="shared" si="24"/>
        <v>0.31640636193411331</v>
      </c>
      <c r="F110" s="28">
        <f t="shared" si="21"/>
        <v>295.38810965761633</v>
      </c>
      <c r="G110" s="29">
        <f t="shared" si="22"/>
        <v>1.417338597698673E-5</v>
      </c>
      <c r="H110" s="29">
        <f t="shared" si="23"/>
        <v>4.4794883043274954E-5</v>
      </c>
      <c r="J110" s="40"/>
      <c r="K110" s="42"/>
    </row>
    <row r="111" spans="1:11" ht="12.45" customHeight="1">
      <c r="A111" s="20">
        <v>12000</v>
      </c>
      <c r="B111" s="20">
        <f>A111/0.0254/12</f>
        <v>39370.078740157485</v>
      </c>
      <c r="C111" s="22">
        <f t="shared" si="18"/>
        <v>216.64999999999998</v>
      </c>
      <c r="D111" s="20">
        <f t="shared" si="19"/>
        <v>19330.683977881265</v>
      </c>
      <c r="E111" s="21">
        <f t="shared" si="24"/>
        <v>0.31082709741258535</v>
      </c>
      <c r="F111" s="22">
        <f t="shared" si="21"/>
        <v>295.38810965761633</v>
      </c>
      <c r="G111" s="23">
        <f t="shared" si="22"/>
        <v>1.417338597698673E-5</v>
      </c>
      <c r="H111" s="23">
        <f t="shared" si="23"/>
        <v>4.5598939394184402E-5</v>
      </c>
    </row>
    <row r="112" spans="1:11" s="30" customFormat="1" ht="12.45" customHeight="1">
      <c r="A112" s="26">
        <f>B112*0.0254*12</f>
        <v>12192</v>
      </c>
      <c r="B112" s="26">
        <v>40000</v>
      </c>
      <c r="C112" s="28">
        <f t="shared" si="18"/>
        <v>216.64999999999998</v>
      </c>
      <c r="D112" s="26">
        <f t="shared" si="19"/>
        <v>18754.090766647747</v>
      </c>
      <c r="E112" s="27">
        <f t="shared" si="24"/>
        <v>0.30155578583144388</v>
      </c>
      <c r="F112" s="28">
        <f t="shared" si="21"/>
        <v>295.38810965761633</v>
      </c>
      <c r="G112" s="29">
        <f t="shared" si="22"/>
        <v>1.417338597698673E-5</v>
      </c>
      <c r="H112" s="29">
        <f t="shared" si="23"/>
        <v>4.7000875602197915E-5</v>
      </c>
      <c r="K112" s="39"/>
    </row>
    <row r="113" spans="1:11" ht="12.45" customHeight="1">
      <c r="A113" s="20">
        <v>12200</v>
      </c>
      <c r="B113" s="20">
        <f>A113/0.0254/12</f>
        <v>40026.24671916011</v>
      </c>
      <c r="C113" s="22">
        <f t="shared" si="18"/>
        <v>216.64999999999998</v>
      </c>
      <c r="D113" s="20">
        <f t="shared" si="19"/>
        <v>18730.442891087638</v>
      </c>
      <c r="E113" s="21">
        <f t="shared" si="24"/>
        <v>0.30117554059393792</v>
      </c>
      <c r="F113" s="22">
        <f t="shared" si="21"/>
        <v>295.38810965761633</v>
      </c>
      <c r="G113" s="23">
        <f t="shared" si="22"/>
        <v>1.417338597698673E-5</v>
      </c>
      <c r="H113" s="23">
        <f t="shared" si="23"/>
        <v>4.7060215942622311E-5</v>
      </c>
    </row>
    <row r="114" spans="1:11" ht="12.45" customHeight="1">
      <c r="A114" s="20">
        <v>12400</v>
      </c>
      <c r="B114" s="20">
        <f>A114/0.0254/12</f>
        <v>40682.414698162735</v>
      </c>
      <c r="C114" s="22">
        <f t="shared" si="18"/>
        <v>216.64999999999998</v>
      </c>
      <c r="D114" s="20">
        <f t="shared" si="19"/>
        <v>18148.840015062309</v>
      </c>
      <c r="E114" s="21">
        <f t="shared" si="24"/>
        <v>0.29182367627249872</v>
      </c>
      <c r="F114" s="22">
        <f t="shared" si="21"/>
        <v>295.38810965761633</v>
      </c>
      <c r="G114" s="23">
        <f t="shared" si="22"/>
        <v>1.417338597698673E-5</v>
      </c>
      <c r="H114" s="23">
        <f t="shared" si="23"/>
        <v>4.8568320973901808E-5</v>
      </c>
    </row>
    <row r="115" spans="1:11" s="41" customFormat="1" ht="12.45" customHeight="1">
      <c r="A115" s="26">
        <f>B115*0.0254*12</f>
        <v>12496.8</v>
      </c>
      <c r="B115" s="26">
        <v>41000</v>
      </c>
      <c r="C115" s="28">
        <f t="shared" si="18"/>
        <v>216.64999999999998</v>
      </c>
      <c r="D115" s="26">
        <f t="shared" si="19"/>
        <v>17873.86493786221</v>
      </c>
      <c r="E115" s="27">
        <f t="shared" si="24"/>
        <v>0.28740222356008022</v>
      </c>
      <c r="F115" s="28">
        <f t="shared" si="21"/>
        <v>295.38810965761633</v>
      </c>
      <c r="G115" s="29">
        <f t="shared" si="22"/>
        <v>1.417338597698673E-5</v>
      </c>
      <c r="H115" s="29">
        <f t="shared" si="23"/>
        <v>4.9315505640212431E-5</v>
      </c>
      <c r="J115" s="24"/>
      <c r="K115" s="38"/>
    </row>
    <row r="116" spans="1:11" ht="12.45" customHeight="1">
      <c r="A116" s="20">
        <v>12600</v>
      </c>
      <c r="B116" s="20">
        <f>A116/0.0254/12</f>
        <v>41338.582677165359</v>
      </c>
      <c r="C116" s="22">
        <f t="shared" si="18"/>
        <v>216.64999999999998</v>
      </c>
      <c r="D116" s="20">
        <f t="shared" si="19"/>
        <v>17585.296610848083</v>
      </c>
      <c r="E116" s="21">
        <f t="shared" si="24"/>
        <v>0.28276219863423491</v>
      </c>
      <c r="F116" s="22">
        <f t="shared" si="21"/>
        <v>295.38810965761633</v>
      </c>
      <c r="G116" s="23">
        <f t="shared" si="22"/>
        <v>1.417338597698673E-5</v>
      </c>
      <c r="H116" s="23">
        <f t="shared" si="23"/>
        <v>5.0124755166869443E-5</v>
      </c>
    </row>
    <row r="117" spans="1:11" ht="12.45" customHeight="1">
      <c r="A117" s="20">
        <v>12800</v>
      </c>
      <c r="B117" s="20">
        <f>A117/0.0254/12</f>
        <v>41994.750656167984</v>
      </c>
      <c r="C117" s="22">
        <f t="shared" si="18"/>
        <v>216.64999999999998</v>
      </c>
      <c r="D117" s="20">
        <f t="shared" si="19"/>
        <v>17039.251910031413</v>
      </c>
      <c r="E117" s="21">
        <f t="shared" si="24"/>
        <v>0.27398209082187952</v>
      </c>
      <c r="F117" s="22">
        <f t="shared" si="21"/>
        <v>295.38810965761633</v>
      </c>
      <c r="G117" s="23">
        <f t="shared" si="22"/>
        <v>1.417338597698673E-5</v>
      </c>
      <c r="H117" s="23">
        <f t="shared" si="23"/>
        <v>5.1731067291551884E-5</v>
      </c>
    </row>
    <row r="118" spans="1:11" s="30" customFormat="1" ht="12.45" customHeight="1">
      <c r="A118" s="26">
        <f>B118*0.0254*12</f>
        <v>12801.599999999999</v>
      </c>
      <c r="B118" s="26">
        <v>42000</v>
      </c>
      <c r="C118" s="28">
        <f t="shared" si="18"/>
        <v>216.64999999999998</v>
      </c>
      <c r="D118" s="26">
        <f t="shared" si="19"/>
        <v>17034.952629380157</v>
      </c>
      <c r="E118" s="27">
        <f t="shared" si="24"/>
        <v>0.2739129606800117</v>
      </c>
      <c r="F118" s="28">
        <f t="shared" si="21"/>
        <v>295.38810965761633</v>
      </c>
      <c r="G118" s="29">
        <f t="shared" si="22"/>
        <v>1.417338597698673E-5</v>
      </c>
      <c r="H118" s="29">
        <f t="shared" si="23"/>
        <v>5.174412317620941E-5</v>
      </c>
      <c r="J118" s="44"/>
      <c r="K118" s="45"/>
    </row>
    <row r="119" spans="1:11" ht="12.45" customHeight="1">
      <c r="A119" s="20">
        <v>13000</v>
      </c>
      <c r="B119" s="20">
        <f>A119/0.0254/12</f>
        <v>42650.918635170608</v>
      </c>
      <c r="C119" s="22">
        <f t="shared" si="18"/>
        <v>216.64999999999998</v>
      </c>
      <c r="D119" s="20">
        <f t="shared" si="19"/>
        <v>16510.162556735359</v>
      </c>
      <c r="E119" s="21">
        <f t="shared" si="24"/>
        <v>0.26547461596247518</v>
      </c>
      <c r="F119" s="22">
        <f t="shared" si="21"/>
        <v>295.38810965761633</v>
      </c>
      <c r="G119" s="23">
        <f t="shared" si="22"/>
        <v>1.417338597698673E-5</v>
      </c>
      <c r="H119" s="23">
        <f t="shared" si="23"/>
        <v>5.338885575029945E-5</v>
      </c>
    </row>
    <row r="120" spans="1:11" ht="12.45" customHeight="1">
      <c r="A120" s="26">
        <f>B120*0.0254*12</f>
        <v>13106.400000000001</v>
      </c>
      <c r="B120" s="26">
        <v>43000</v>
      </c>
      <c r="C120" s="28">
        <f t="shared" si="18"/>
        <v>216.64999999999998</v>
      </c>
      <c r="D120" s="26">
        <f t="shared" si="19"/>
        <v>16235.414785445595</v>
      </c>
      <c r="E120" s="27">
        <f t="shared" si="24"/>
        <v>0.26105681820796789</v>
      </c>
      <c r="F120" s="28">
        <f t="shared" si="21"/>
        <v>295.38810965761633</v>
      </c>
      <c r="G120" s="29">
        <f t="shared" si="22"/>
        <v>1.417338597698673E-5</v>
      </c>
      <c r="H120" s="29">
        <f t="shared" si="23"/>
        <v>5.4292341698946422E-5</v>
      </c>
    </row>
    <row r="121" spans="1:11" ht="12.45" customHeight="1">
      <c r="A121" s="20">
        <v>13200</v>
      </c>
      <c r="B121" s="20">
        <f>A121/0.0254/12</f>
        <v>43307.086614173233</v>
      </c>
      <c r="C121" s="22">
        <f t="shared" si="18"/>
        <v>216.64999999999998</v>
      </c>
      <c r="D121" s="20">
        <f t="shared" si="19"/>
        <v>15997.50206693926</v>
      </c>
      <c r="E121" s="21">
        <f t="shared" si="24"/>
        <v>0.25723130847352305</v>
      </c>
      <c r="F121" s="22">
        <f t="shared" si="21"/>
        <v>295.38810965761633</v>
      </c>
      <c r="G121" s="23">
        <f t="shared" si="22"/>
        <v>1.417338597698673E-5</v>
      </c>
      <c r="H121" s="23">
        <f t="shared" si="23"/>
        <v>5.5099770168317612E-5</v>
      </c>
    </row>
    <row r="122" spans="1:11" ht="12.45" customHeight="1">
      <c r="A122" s="20">
        <v>13400</v>
      </c>
      <c r="B122" s="20">
        <f>A122/0.0254/12</f>
        <v>43963.254593175858</v>
      </c>
      <c r="C122" s="22">
        <f t="shared" si="18"/>
        <v>216.64999999999998</v>
      </c>
      <c r="D122" s="20">
        <f t="shared" si="19"/>
        <v>15500.760304587224</v>
      </c>
      <c r="E122" s="21">
        <f t="shared" si="24"/>
        <v>0.24924396563908607</v>
      </c>
      <c r="F122" s="22">
        <f t="shared" si="21"/>
        <v>295.38810965761633</v>
      </c>
      <c r="G122" s="23">
        <f t="shared" si="22"/>
        <v>1.417338597698673E-5</v>
      </c>
      <c r="H122" s="23">
        <f t="shared" si="23"/>
        <v>5.6865513035169271E-5</v>
      </c>
    </row>
    <row r="123" spans="1:11" s="44" customFormat="1" ht="12.45" customHeight="1">
      <c r="A123" s="26">
        <f>B123*0.0254*12</f>
        <v>13411.199999999999</v>
      </c>
      <c r="B123" s="26">
        <v>44000</v>
      </c>
      <c r="C123" s="28">
        <f t="shared" si="18"/>
        <v>216.64999999999998</v>
      </c>
      <c r="D123" s="26">
        <f t="shared" si="19"/>
        <v>15473.403360151093</v>
      </c>
      <c r="E123" s="27">
        <f t="shared" si="24"/>
        <v>0.24880408055054551</v>
      </c>
      <c r="F123" s="28">
        <f t="shared" si="21"/>
        <v>295.38810965761633</v>
      </c>
      <c r="G123" s="29">
        <f t="shared" si="22"/>
        <v>1.417338597698673E-5</v>
      </c>
      <c r="H123" s="29">
        <f t="shared" si="23"/>
        <v>5.6966051142024389E-5</v>
      </c>
      <c r="J123" s="30"/>
      <c r="K123" s="39"/>
    </row>
    <row r="124" spans="1:11" ht="12.45" customHeight="1">
      <c r="A124" s="20">
        <v>13600</v>
      </c>
      <c r="B124" s="20">
        <f>A124/0.0254/12</f>
        <v>44619.422572178475</v>
      </c>
      <c r="C124" s="22">
        <f t="shared" si="18"/>
        <v>216.64999999999998</v>
      </c>
      <c r="D124" s="20">
        <f t="shared" si="19"/>
        <v>15019.442973964105</v>
      </c>
      <c r="E124" s="21">
        <f t="shared" si="24"/>
        <v>0.24150463944746545</v>
      </c>
      <c r="F124" s="22">
        <f t="shared" si="21"/>
        <v>295.38810965761633</v>
      </c>
      <c r="G124" s="23">
        <f t="shared" si="22"/>
        <v>1.417338597698673E-5</v>
      </c>
      <c r="H124" s="23">
        <f t="shared" si="23"/>
        <v>5.8687841398880747E-5</v>
      </c>
    </row>
    <row r="125" spans="1:11" ht="12.45" customHeight="1">
      <c r="A125" s="26">
        <f>B125*0.0254*12</f>
        <v>13716</v>
      </c>
      <c r="B125" s="26">
        <v>45000</v>
      </c>
      <c r="C125" s="28">
        <f t="shared" si="18"/>
        <v>216.64999999999998</v>
      </c>
      <c r="D125" s="26">
        <f t="shared" si="19"/>
        <v>14747.15704587795</v>
      </c>
      <c r="E125" s="27">
        <f t="shared" si="24"/>
        <v>0.237126426819803</v>
      </c>
      <c r="F125" s="28">
        <f t="shared" si="21"/>
        <v>295.38810965761633</v>
      </c>
      <c r="G125" s="29">
        <f t="shared" si="22"/>
        <v>1.417338597698673E-5</v>
      </c>
      <c r="H125" s="29">
        <f t="shared" si="23"/>
        <v>5.9771431497837069E-5</v>
      </c>
    </row>
    <row r="126" spans="1:11" ht="12.45" customHeight="1">
      <c r="A126" s="20">
        <v>13800</v>
      </c>
      <c r="B126" s="20">
        <f>A126/0.0254/12</f>
        <v>45275.590551181107</v>
      </c>
      <c r="C126" s="22">
        <f t="shared" si="18"/>
        <v>216.64999999999998</v>
      </c>
      <c r="D126" s="20">
        <f t="shared" si="19"/>
        <v>14553.071127833742</v>
      </c>
      <c r="E126" s="21">
        <f t="shared" si="24"/>
        <v>0.23400562868232552</v>
      </c>
      <c r="F126" s="22">
        <f t="shared" si="21"/>
        <v>295.38810965761633</v>
      </c>
      <c r="G126" s="23">
        <f t="shared" si="22"/>
        <v>1.417338597698673E-5</v>
      </c>
      <c r="H126" s="23">
        <f t="shared" si="23"/>
        <v>6.0568568614337988E-5</v>
      </c>
      <c r="J126" s="40"/>
      <c r="K126" s="42"/>
    </row>
    <row r="127" spans="1:11" ht="12.45" customHeight="1">
      <c r="A127" s="20">
        <v>14000</v>
      </c>
      <c r="B127" s="20">
        <f>A127/0.0254/12</f>
        <v>45931.758530183724</v>
      </c>
      <c r="C127" s="22">
        <f t="shared" si="18"/>
        <v>216.64999999999998</v>
      </c>
      <c r="D127" s="20">
        <f t="shared" si="19"/>
        <v>14101.180690850182</v>
      </c>
      <c r="E127" s="21">
        <f t="shared" si="24"/>
        <v>0.22673947125940022</v>
      </c>
      <c r="F127" s="22">
        <f t="shared" si="21"/>
        <v>295.38810965761633</v>
      </c>
      <c r="G127" s="23">
        <f t="shared" si="22"/>
        <v>1.417338597698673E-5</v>
      </c>
      <c r="H127" s="23">
        <f t="shared" si="23"/>
        <v>6.2509566147712038E-5</v>
      </c>
    </row>
    <row r="128" spans="1:11" s="30" customFormat="1" ht="12.45" customHeight="1">
      <c r="A128" s="26">
        <f>B128*0.0254*12</f>
        <v>14020.8</v>
      </c>
      <c r="B128" s="26">
        <v>46000</v>
      </c>
      <c r="C128" s="28">
        <f t="shared" si="18"/>
        <v>216.64999999999998</v>
      </c>
      <c r="D128" s="26">
        <f t="shared" si="19"/>
        <v>14054.997202222752</v>
      </c>
      <c r="E128" s="27">
        <f t="shared" si="24"/>
        <v>0.22599686537256886</v>
      </c>
      <c r="F128" s="28">
        <f t="shared" si="21"/>
        <v>295.38810965761633</v>
      </c>
      <c r="G128" s="29">
        <f t="shared" si="22"/>
        <v>1.417338597698673E-5</v>
      </c>
      <c r="H128" s="29">
        <f t="shared" si="23"/>
        <v>6.2714967101959966E-5</v>
      </c>
      <c r="K128" s="39"/>
    </row>
    <row r="129" spans="1:11" ht="12.45" customHeight="1">
      <c r="A129" s="20">
        <v>14200</v>
      </c>
      <c r="B129" s="20">
        <f>A129/0.0254/12</f>
        <v>46587.926509186356</v>
      </c>
      <c r="C129" s="22">
        <f t="shared" si="18"/>
        <v>216.64999999999998</v>
      </c>
      <c r="D129" s="20">
        <f t="shared" si="19"/>
        <v>13663.321997767511</v>
      </c>
      <c r="E129" s="21">
        <f t="shared" si="24"/>
        <v>0.21969893680115329</v>
      </c>
      <c r="F129" s="22">
        <f t="shared" si="21"/>
        <v>295.38810965761633</v>
      </c>
      <c r="G129" s="23">
        <f t="shared" si="22"/>
        <v>1.417338597698673E-5</v>
      </c>
      <c r="H129" s="23">
        <f t="shared" si="23"/>
        <v>6.4512765438709793E-5</v>
      </c>
    </row>
    <row r="130" spans="1:11" ht="12.45" customHeight="1">
      <c r="A130" s="26">
        <f>B130*0.0254*12</f>
        <v>14325.599999999999</v>
      </c>
      <c r="B130" s="26">
        <v>47000</v>
      </c>
      <c r="C130" s="28">
        <f t="shared" ref="C130:C163" si="25">T0-Lapse_rate/1000*MIN(Tropopause,A130)</f>
        <v>216.64999999999998</v>
      </c>
      <c r="D130" s="26">
        <f t="shared" ref="D130:D161" si="26">Rair*E130*C130</f>
        <v>13395.323976000209</v>
      </c>
      <c r="E130" s="27">
        <f t="shared" si="24"/>
        <v>0.21538967142215476</v>
      </c>
      <c r="F130" s="28">
        <f t="shared" ref="F130:F163" si="27">SQRT(1.403*Rair*C130)</f>
        <v>295.38810965761633</v>
      </c>
      <c r="G130" s="29">
        <f t="shared" ref="G130:G163" si="28">m0*POWER(C130/T0,1.5)*(T0+110.4)/(C130+110.4)</f>
        <v>1.417338597698673E-5</v>
      </c>
      <c r="H130" s="29">
        <f t="shared" ref="H130:H161" si="29">G130/E130</f>
        <v>6.5803461620996142E-5</v>
      </c>
    </row>
    <row r="131" spans="1:11" ht="12.45" customHeight="1">
      <c r="A131" s="20">
        <v>14400</v>
      </c>
      <c r="B131" s="20">
        <f>A131/0.0254/12</f>
        <v>47244.094488188974</v>
      </c>
      <c r="C131" s="22">
        <f t="shared" si="25"/>
        <v>216.64999999999998</v>
      </c>
      <c r="D131" s="20">
        <f t="shared" si="26"/>
        <v>13239.059345988846</v>
      </c>
      <c r="E131" s="21">
        <f t="shared" si="24"/>
        <v>0.21287701944200446</v>
      </c>
      <c r="F131" s="22">
        <f t="shared" si="27"/>
        <v>295.38810965761633</v>
      </c>
      <c r="G131" s="23">
        <f t="shared" si="28"/>
        <v>1.417338597698673E-5</v>
      </c>
      <c r="H131" s="23">
        <f t="shared" si="29"/>
        <v>6.6580159822502973E-5</v>
      </c>
    </row>
    <row r="132" spans="1:11" s="41" customFormat="1" ht="12.45" customHeight="1">
      <c r="A132" s="20">
        <v>14600</v>
      </c>
      <c r="B132" s="20">
        <f>A132/0.0254/12</f>
        <v>47900.262467191606</v>
      </c>
      <c r="C132" s="22">
        <f t="shared" si="25"/>
        <v>216.64999999999998</v>
      </c>
      <c r="D132" s="20">
        <f t="shared" si="26"/>
        <v>12827.970562009223</v>
      </c>
      <c r="E132" s="21">
        <f t="shared" si="24"/>
        <v>0.20626693085696202</v>
      </c>
      <c r="F132" s="22">
        <f t="shared" si="27"/>
        <v>295.38810965761633</v>
      </c>
      <c r="G132" s="23">
        <f t="shared" si="28"/>
        <v>1.417338597698673E-5</v>
      </c>
      <c r="H132" s="23">
        <f t="shared" si="29"/>
        <v>6.8713806513247697E-5</v>
      </c>
      <c r="J132" s="24"/>
      <c r="K132" s="38"/>
    </row>
    <row r="133" spans="1:11" s="30" customFormat="1" ht="12.45" customHeight="1">
      <c r="A133" s="26">
        <f>B133*0.0254*12</f>
        <v>14630.400000000001</v>
      </c>
      <c r="B133" s="26">
        <v>48000</v>
      </c>
      <c r="C133" s="28">
        <f t="shared" si="25"/>
        <v>216.64999999999998</v>
      </c>
      <c r="D133" s="26">
        <f t="shared" si="26"/>
        <v>12766.61260335427</v>
      </c>
      <c r="E133" s="27">
        <f t="shared" si="24"/>
        <v>0.20528032757827291</v>
      </c>
      <c r="F133" s="28">
        <f t="shared" si="27"/>
        <v>295.38810965761633</v>
      </c>
      <c r="G133" s="29">
        <f t="shared" si="28"/>
        <v>1.417338597698673E-5</v>
      </c>
      <c r="H133" s="29">
        <f t="shared" si="29"/>
        <v>6.9044053778521226E-5</v>
      </c>
      <c r="K133" s="39"/>
    </row>
    <row r="134" spans="1:11" ht="12.45" customHeight="1">
      <c r="A134" s="20">
        <v>14800</v>
      </c>
      <c r="B134" s="20">
        <f>A134/0.0254/12</f>
        <v>48556.430446194223</v>
      </c>
      <c r="C134" s="22">
        <f t="shared" si="25"/>
        <v>216.64999999999998</v>
      </c>
      <c r="D134" s="20">
        <f t="shared" si="26"/>
        <v>12429.646581320929</v>
      </c>
      <c r="E134" s="21">
        <f t="shared" si="24"/>
        <v>0.19986209350672465</v>
      </c>
      <c r="F134" s="22">
        <f t="shared" si="27"/>
        <v>295.38810965761633</v>
      </c>
      <c r="G134" s="23">
        <f t="shared" si="28"/>
        <v>1.417338597698673E-5</v>
      </c>
      <c r="H134" s="23">
        <f t="shared" si="29"/>
        <v>7.0915828651168646E-5</v>
      </c>
    </row>
    <row r="135" spans="1:11" ht="12.45" customHeight="1">
      <c r="A135" s="26">
        <f>B135*0.0254*12</f>
        <v>14935.199999999999</v>
      </c>
      <c r="B135" s="26">
        <v>49000</v>
      </c>
      <c r="C135" s="28">
        <f t="shared" si="25"/>
        <v>216.64999999999998</v>
      </c>
      <c r="D135" s="26">
        <f t="shared" si="26"/>
        <v>12167.409885430132</v>
      </c>
      <c r="E135" s="27">
        <f t="shared" si="24"/>
        <v>0.19564546717771997</v>
      </c>
      <c r="F135" s="28">
        <f t="shared" si="27"/>
        <v>295.38810965761633</v>
      </c>
      <c r="G135" s="29">
        <f t="shared" si="28"/>
        <v>1.417338597698673E-5</v>
      </c>
      <c r="H135" s="29">
        <f t="shared" si="29"/>
        <v>7.2444233855476663E-5</v>
      </c>
      <c r="J135" s="41"/>
      <c r="K135" s="43"/>
    </row>
    <row r="136" spans="1:11" ht="12.45" customHeight="1">
      <c r="A136" s="20">
        <v>15000</v>
      </c>
      <c r="B136" s="20">
        <f>A136/0.0254/12</f>
        <v>49212.598425196855</v>
      </c>
      <c r="C136" s="22">
        <f t="shared" si="25"/>
        <v>216.64999999999998</v>
      </c>
      <c r="D136" s="20">
        <f t="shared" si="26"/>
        <v>12043.691041363334</v>
      </c>
      <c r="E136" s="21">
        <f t="shared" ref="E136:E163" si="30">$E$103*EXP(-9.80665*(A136-$A$103)/287/$C$103)</f>
        <v>0.19365613409253143</v>
      </c>
      <c r="F136" s="22">
        <f t="shared" si="27"/>
        <v>295.38810965761633</v>
      </c>
      <c r="G136" s="23">
        <f t="shared" si="28"/>
        <v>1.417338597698673E-5</v>
      </c>
      <c r="H136" s="23">
        <f t="shared" si="29"/>
        <v>7.3188417415244396E-5</v>
      </c>
    </row>
    <row r="137" spans="1:11" ht="12.45" customHeight="1">
      <c r="A137" s="20">
        <v>15200</v>
      </c>
      <c r="B137" s="20">
        <f>A137/0.0254/12</f>
        <v>49868.766404199479</v>
      </c>
      <c r="C137" s="22">
        <f t="shared" si="25"/>
        <v>216.64999999999998</v>
      </c>
      <c r="D137" s="20">
        <f t="shared" si="26"/>
        <v>11669.719887112076</v>
      </c>
      <c r="E137" s="21">
        <f t="shared" si="30"/>
        <v>0.18764287721424616</v>
      </c>
      <c r="F137" s="22">
        <f t="shared" si="27"/>
        <v>295.38810965761633</v>
      </c>
      <c r="G137" s="23">
        <f t="shared" si="28"/>
        <v>1.417338597698673E-5</v>
      </c>
      <c r="H137" s="23">
        <f t="shared" si="29"/>
        <v>7.553383420359674E-5</v>
      </c>
    </row>
    <row r="138" spans="1:11" s="30" customFormat="1" ht="12.45" customHeight="1">
      <c r="A138" s="26">
        <f>B138*0.0254*12</f>
        <v>15240</v>
      </c>
      <c r="B138" s="26">
        <v>50000</v>
      </c>
      <c r="C138" s="28">
        <f t="shared" si="25"/>
        <v>216.64999999999998</v>
      </c>
      <c r="D138" s="26">
        <f t="shared" si="26"/>
        <v>11596.330829461029</v>
      </c>
      <c r="E138" s="27">
        <f t="shared" si="30"/>
        <v>0.18646282027484243</v>
      </c>
      <c r="F138" s="28">
        <f t="shared" si="27"/>
        <v>295.38810965761633</v>
      </c>
      <c r="G138" s="29">
        <f t="shared" si="28"/>
        <v>1.417338597698673E-5</v>
      </c>
      <c r="H138" s="29">
        <f t="shared" si="29"/>
        <v>7.6011861003150369E-5</v>
      </c>
      <c r="K138" s="39"/>
    </row>
    <row r="139" spans="1:11" ht="12.45" customHeight="1">
      <c r="A139" s="20">
        <v>15400</v>
      </c>
      <c r="B139" s="20">
        <f>A139/0.0254/12</f>
        <v>50524.934383202104</v>
      </c>
      <c r="C139" s="22">
        <f t="shared" si="25"/>
        <v>216.64999999999998</v>
      </c>
      <c r="D139" s="20">
        <f t="shared" si="26"/>
        <v>11307.360988915185</v>
      </c>
      <c r="E139" s="21">
        <f t="shared" si="30"/>
        <v>0.18181633922536602</v>
      </c>
      <c r="F139" s="22">
        <f t="shared" si="27"/>
        <v>295.38810965761633</v>
      </c>
      <c r="G139" s="23">
        <f t="shared" si="28"/>
        <v>1.417338597698673E-5</v>
      </c>
      <c r="H139" s="23">
        <f t="shared" si="29"/>
        <v>7.7954412883753275E-5</v>
      </c>
      <c r="J139" s="41"/>
      <c r="K139" s="43"/>
    </row>
    <row r="140" spans="1:11" s="30" customFormat="1" ht="12.45" customHeight="1">
      <c r="A140" s="26">
        <f>B140*0.0254*12</f>
        <v>15544.8</v>
      </c>
      <c r="B140" s="26">
        <v>51000</v>
      </c>
      <c r="C140" s="28">
        <f t="shared" si="25"/>
        <v>216.64999999999998</v>
      </c>
      <c r="D140" s="26">
        <f t="shared" si="26"/>
        <v>11052.055447506154</v>
      </c>
      <c r="E140" s="27">
        <f t="shared" si="30"/>
        <v>0.17771116216694849</v>
      </c>
      <c r="F140" s="28">
        <f t="shared" si="27"/>
        <v>295.38810965761633</v>
      </c>
      <c r="G140" s="29">
        <f t="shared" si="28"/>
        <v>1.417338597698673E-5</v>
      </c>
      <c r="H140" s="29">
        <f t="shared" si="29"/>
        <v>7.9755181408761044E-5</v>
      </c>
      <c r="K140" s="39"/>
    </row>
    <row r="141" spans="1:11" ht="12.45" customHeight="1">
      <c r="A141" s="20">
        <v>15600</v>
      </c>
      <c r="B141" s="20">
        <f>A141/0.0254/12</f>
        <v>51181.102362204729</v>
      </c>
      <c r="C141" s="22">
        <f t="shared" si="25"/>
        <v>216.64999999999998</v>
      </c>
      <c r="D141" s="20">
        <f t="shared" si="26"/>
        <v>10956.253772195883</v>
      </c>
      <c r="E141" s="21">
        <f t="shared" si="30"/>
        <v>0.17617072227883965</v>
      </c>
      <c r="F141" s="22">
        <f t="shared" si="27"/>
        <v>295.38810965761633</v>
      </c>
      <c r="G141" s="23">
        <f t="shared" si="28"/>
        <v>1.417338597698673E-5</v>
      </c>
      <c r="H141" s="23">
        <f t="shared" si="29"/>
        <v>8.0452562115022533E-5</v>
      </c>
      <c r="J141" s="41"/>
      <c r="K141" s="43"/>
    </row>
    <row r="142" spans="1:11" s="30" customFormat="1" ht="12.45" customHeight="1">
      <c r="A142" s="20">
        <v>15800</v>
      </c>
      <c r="B142" s="20">
        <f>A142/0.0254/12</f>
        <v>51837.270341207353</v>
      </c>
      <c r="C142" s="22">
        <f t="shared" si="25"/>
        <v>216.64999999999998</v>
      </c>
      <c r="D142" s="20">
        <f t="shared" si="26"/>
        <v>10616.04885865353</v>
      </c>
      <c r="E142" s="21">
        <f t="shared" si="30"/>
        <v>0.1707004085577698</v>
      </c>
      <c r="F142" s="22">
        <f t="shared" si="27"/>
        <v>295.38810965761633</v>
      </c>
      <c r="G142" s="23">
        <f t="shared" si="28"/>
        <v>1.417338597698673E-5</v>
      </c>
      <c r="H142" s="23">
        <f t="shared" si="29"/>
        <v>8.3030767745292535E-5</v>
      </c>
      <c r="K142" s="39"/>
    </row>
    <row r="143" spans="1:11" ht="12.45" customHeight="1">
      <c r="A143" s="26">
        <f>B143*0.0254*12</f>
        <v>15849.599999999999</v>
      </c>
      <c r="B143" s="26">
        <v>52000</v>
      </c>
      <c r="C143" s="28">
        <f t="shared" si="25"/>
        <v>216.64999999999998</v>
      </c>
      <c r="D143" s="26">
        <f t="shared" si="26"/>
        <v>10533.325705440198</v>
      </c>
      <c r="E143" s="27">
        <f t="shared" si="30"/>
        <v>0.16937026433568547</v>
      </c>
      <c r="F143" s="28">
        <f t="shared" si="27"/>
        <v>295.38810965761633</v>
      </c>
      <c r="G143" s="29">
        <f t="shared" si="28"/>
        <v>1.417338597698673E-5</v>
      </c>
      <c r="H143" s="29">
        <f t="shared" si="29"/>
        <v>8.368284735563507E-5</v>
      </c>
      <c r="J143" s="41"/>
      <c r="K143" s="43"/>
    </row>
    <row r="144" spans="1:11" s="30" customFormat="1" ht="12.45" customHeight="1">
      <c r="A144" s="20">
        <v>16000</v>
      </c>
      <c r="B144" s="20">
        <f>A144/0.0254/12</f>
        <v>52493.438320209978</v>
      </c>
      <c r="C144" s="22">
        <f t="shared" si="25"/>
        <v>216.64999999999998</v>
      </c>
      <c r="D144" s="20">
        <f t="shared" si="26"/>
        <v>10286.407718605733</v>
      </c>
      <c r="E144" s="21">
        <f t="shared" si="30"/>
        <v>0.16539995468525956</v>
      </c>
      <c r="F144" s="22">
        <f t="shared" si="27"/>
        <v>295.38810965761633</v>
      </c>
      <c r="G144" s="23">
        <f t="shared" si="28"/>
        <v>1.417338597698673E-5</v>
      </c>
      <c r="H144" s="23">
        <f t="shared" si="29"/>
        <v>8.569159528463802E-5</v>
      </c>
      <c r="K144" s="39"/>
    </row>
    <row r="145" spans="1:11" ht="12.45" customHeight="1">
      <c r="A145" s="26">
        <f>B145*0.0254*12</f>
        <v>16154.400000000001</v>
      </c>
      <c r="B145" s="26">
        <v>53000</v>
      </c>
      <c r="C145" s="28">
        <f t="shared" si="25"/>
        <v>216.64999999999998</v>
      </c>
      <c r="D145" s="26">
        <f t="shared" si="26"/>
        <v>10038.942615142481</v>
      </c>
      <c r="E145" s="27">
        <f t="shared" si="30"/>
        <v>0.16142084769099074</v>
      </c>
      <c r="F145" s="28">
        <f t="shared" si="27"/>
        <v>295.38810965761633</v>
      </c>
      <c r="G145" s="29">
        <f t="shared" si="28"/>
        <v>1.417338597698673E-5</v>
      </c>
      <c r="H145" s="29">
        <f t="shared" si="29"/>
        <v>8.7803937222030696E-5</v>
      </c>
      <c r="J145" s="41"/>
      <c r="K145" s="43"/>
    </row>
    <row r="146" spans="1:11" s="30" customFormat="1" ht="12.45" customHeight="1">
      <c r="A146" s="20">
        <v>16200</v>
      </c>
      <c r="B146" s="20">
        <f>A146/0.0254/12</f>
        <v>53149.606299212603</v>
      </c>
      <c r="C146" s="22">
        <f t="shared" si="25"/>
        <v>216.64999999999998</v>
      </c>
      <c r="D146" s="20">
        <f t="shared" si="26"/>
        <v>9967.0023341256456</v>
      </c>
      <c r="E146" s="21">
        <f t="shared" si="30"/>
        <v>0.16026408630783973</v>
      </c>
      <c r="F146" s="22">
        <f t="shared" si="27"/>
        <v>295.38810965761633</v>
      </c>
      <c r="G146" s="23">
        <f t="shared" si="28"/>
        <v>1.417338597698673E-5</v>
      </c>
      <c r="H146" s="23">
        <f t="shared" si="29"/>
        <v>8.843769245819737E-5</v>
      </c>
      <c r="K146" s="39"/>
    </row>
    <row r="147" spans="1:11" ht="12.45" customHeight="1">
      <c r="A147" s="20">
        <v>16400</v>
      </c>
      <c r="B147" s="20">
        <f>A147/0.0254/12</f>
        <v>53805.774278215227</v>
      </c>
      <c r="C147" s="22">
        <f t="shared" si="25"/>
        <v>216.64999999999998</v>
      </c>
      <c r="D147" s="20">
        <f t="shared" si="26"/>
        <v>9657.5148726392508</v>
      </c>
      <c r="E147" s="21">
        <f t="shared" si="30"/>
        <v>0.15528769284708704</v>
      </c>
      <c r="F147" s="22">
        <f t="shared" si="27"/>
        <v>295.38810965761633</v>
      </c>
      <c r="G147" s="23">
        <f t="shared" si="28"/>
        <v>1.417338597698673E-5</v>
      </c>
      <c r="H147" s="23">
        <f t="shared" si="29"/>
        <v>9.1271791840859986E-5</v>
      </c>
      <c r="J147" s="41"/>
      <c r="K147" s="43"/>
    </row>
    <row r="148" spans="1:11" s="30" customFormat="1" ht="12.45" customHeight="1">
      <c r="A148" s="26">
        <f>B148*0.0254*12</f>
        <v>16459.199999999997</v>
      </c>
      <c r="B148" s="26">
        <v>54000</v>
      </c>
      <c r="C148" s="28">
        <f t="shared" si="25"/>
        <v>216.64999999999998</v>
      </c>
      <c r="D148" s="26">
        <f t="shared" si="26"/>
        <v>9567.7634631646615</v>
      </c>
      <c r="E148" s="27">
        <f t="shared" si="30"/>
        <v>0.15384453800954503</v>
      </c>
      <c r="F148" s="28">
        <f t="shared" si="27"/>
        <v>295.38810965761633</v>
      </c>
      <c r="G148" s="29">
        <f t="shared" si="28"/>
        <v>1.417338597698673E-5</v>
      </c>
      <c r="H148" s="29">
        <f t="shared" si="29"/>
        <v>9.2127976464834684E-5</v>
      </c>
      <c r="K148" s="39"/>
    </row>
    <row r="149" spans="1:11" ht="12.45" customHeight="1">
      <c r="A149" s="20">
        <v>16600</v>
      </c>
      <c r="B149" s="20">
        <f>A149/0.0254/12</f>
        <v>54461.942257217852</v>
      </c>
      <c r="C149" s="22">
        <f t="shared" si="25"/>
        <v>216.64999999999998</v>
      </c>
      <c r="D149" s="20">
        <f t="shared" si="26"/>
        <v>9357.637370657867</v>
      </c>
      <c r="E149" s="21">
        <f t="shared" si="30"/>
        <v>0.1504658224142113</v>
      </c>
      <c r="F149" s="22">
        <f t="shared" si="27"/>
        <v>295.38810965761633</v>
      </c>
      <c r="G149" s="23">
        <f t="shared" si="28"/>
        <v>1.417338597698673E-5</v>
      </c>
      <c r="H149" s="23">
        <f t="shared" si="29"/>
        <v>9.419671357638539E-5</v>
      </c>
    </row>
    <row r="150" spans="1:11" ht="12.45" customHeight="1">
      <c r="A150" s="26">
        <f>B150*0.0254*12</f>
        <v>16764</v>
      </c>
      <c r="B150" s="26">
        <v>55000</v>
      </c>
      <c r="C150" s="28">
        <f t="shared" si="25"/>
        <v>216.64999999999998</v>
      </c>
      <c r="D150" s="26">
        <f t="shared" si="26"/>
        <v>9118.6991694711796</v>
      </c>
      <c r="E150" s="27">
        <f t="shared" si="30"/>
        <v>0.14662382346472649</v>
      </c>
      <c r="F150" s="28">
        <f t="shared" si="27"/>
        <v>295.38810965761633</v>
      </c>
      <c r="G150" s="29">
        <f t="shared" si="28"/>
        <v>1.417338597698673E-5</v>
      </c>
      <c r="H150" s="29">
        <f t="shared" si="29"/>
        <v>9.6664959636633959E-5</v>
      </c>
    </row>
    <row r="151" spans="1:11" ht="12.45" customHeight="1">
      <c r="A151" s="20">
        <v>16800</v>
      </c>
      <c r="B151" s="20">
        <f>A151/0.0254/12</f>
        <v>55118.110236220477</v>
      </c>
      <c r="C151" s="22">
        <f t="shared" si="25"/>
        <v>216.64999999999998</v>
      </c>
      <c r="D151" s="20">
        <f t="shared" si="26"/>
        <v>9067.0714273311187</v>
      </c>
      <c r="E151" s="21">
        <f t="shared" si="30"/>
        <v>0.1457936768825506</v>
      </c>
      <c r="F151" s="22">
        <f t="shared" si="27"/>
        <v>295.38810965761633</v>
      </c>
      <c r="G151" s="23">
        <f t="shared" si="28"/>
        <v>1.417338597698673E-5</v>
      </c>
      <c r="H151" s="23">
        <f t="shared" si="29"/>
        <v>9.7215368183660097E-5</v>
      </c>
    </row>
    <row r="152" spans="1:11" ht="12.45" customHeight="1">
      <c r="A152" s="20">
        <v>17000</v>
      </c>
      <c r="B152" s="20">
        <f>A152/0.0254/12</f>
        <v>55774.278215223101</v>
      </c>
      <c r="C152" s="22">
        <f t="shared" si="25"/>
        <v>216.64999999999998</v>
      </c>
      <c r="D152" s="20">
        <f t="shared" si="26"/>
        <v>8785.5279075154704</v>
      </c>
      <c r="E152" s="21">
        <f t="shared" si="30"/>
        <v>0.14126660711307149</v>
      </c>
      <c r="F152" s="22">
        <f t="shared" si="27"/>
        <v>295.38810965761633</v>
      </c>
      <c r="G152" s="23">
        <f t="shared" si="28"/>
        <v>1.417338597698673E-5</v>
      </c>
      <c r="H152" s="23">
        <f t="shared" si="29"/>
        <v>1.003307594528846E-4</v>
      </c>
    </row>
    <row r="153" spans="1:11" ht="12.45" customHeight="1">
      <c r="A153" s="26">
        <f>B153*0.0254*12</f>
        <v>17068.8</v>
      </c>
      <c r="B153" s="26">
        <v>56000</v>
      </c>
      <c r="C153" s="28">
        <f t="shared" si="25"/>
        <v>216.64999999999998</v>
      </c>
      <c r="D153" s="26">
        <f t="shared" si="26"/>
        <v>8690.7117701477182</v>
      </c>
      <c r="E153" s="27">
        <f t="shared" si="30"/>
        <v>0.13974201414990403</v>
      </c>
      <c r="F153" s="28">
        <f t="shared" si="27"/>
        <v>295.38810965761633</v>
      </c>
      <c r="G153" s="29">
        <f t="shared" si="28"/>
        <v>1.417338597698673E-5</v>
      </c>
      <c r="H153" s="29">
        <f t="shared" si="29"/>
        <v>1.0142537348705063E-4</v>
      </c>
    </row>
    <row r="154" spans="1:11" ht="12.45" customHeight="1">
      <c r="A154" s="20">
        <v>17200</v>
      </c>
      <c r="B154" s="20">
        <f>A154/0.0254/12</f>
        <v>56430.446194225726</v>
      </c>
      <c r="C154" s="22">
        <f t="shared" si="25"/>
        <v>216.64999999999998</v>
      </c>
      <c r="D154" s="20">
        <f t="shared" si="26"/>
        <v>8512.7266540628316</v>
      </c>
      <c r="E154" s="21">
        <f t="shared" si="30"/>
        <v>0.13688010832812303</v>
      </c>
      <c r="F154" s="22">
        <f t="shared" si="27"/>
        <v>295.38810965761633</v>
      </c>
      <c r="G154" s="23">
        <f t="shared" si="28"/>
        <v>1.417338597698673E-5</v>
      </c>
      <c r="H154" s="23">
        <f t="shared" si="29"/>
        <v>1.0354598743457235E-4</v>
      </c>
    </row>
    <row r="155" spans="1:11" ht="12.45" customHeight="1">
      <c r="A155" s="26">
        <f>B155*0.0254*12</f>
        <v>17373.599999999999</v>
      </c>
      <c r="B155" s="26">
        <v>57000</v>
      </c>
      <c r="C155" s="28">
        <f t="shared" si="25"/>
        <v>216.64999999999998</v>
      </c>
      <c r="D155" s="26">
        <f t="shared" si="26"/>
        <v>8282.8120182589792</v>
      </c>
      <c r="E155" s="27">
        <f t="shared" si="30"/>
        <v>0.13318320350150883</v>
      </c>
      <c r="F155" s="28">
        <f t="shared" si="27"/>
        <v>295.38810965761633</v>
      </c>
      <c r="G155" s="29">
        <f t="shared" si="28"/>
        <v>1.417338597698673E-5</v>
      </c>
      <c r="H155" s="29">
        <f t="shared" si="29"/>
        <v>1.0642022120173855E-4</v>
      </c>
    </row>
    <row r="156" spans="1:11" ht="12.45" customHeight="1">
      <c r="A156" s="20">
        <v>17400</v>
      </c>
      <c r="B156" s="20">
        <f>A156/0.0254/12</f>
        <v>57086.61417322835</v>
      </c>
      <c r="C156" s="22">
        <f t="shared" si="25"/>
        <v>216.64999999999998</v>
      </c>
      <c r="D156" s="20">
        <f t="shared" si="26"/>
        <v>8248.3962090429668</v>
      </c>
      <c r="E156" s="21">
        <f t="shared" si="30"/>
        <v>0.13262981562884177</v>
      </c>
      <c r="F156" s="22">
        <f t="shared" si="27"/>
        <v>295.38810965761633</v>
      </c>
      <c r="G156" s="23">
        <f t="shared" si="28"/>
        <v>1.417338597698673E-5</v>
      </c>
      <c r="H156" s="23">
        <f t="shared" si="29"/>
        <v>1.0686425152433505E-4</v>
      </c>
    </row>
    <row r="157" spans="1:11" ht="12.45" customHeight="1">
      <c r="A157" s="20">
        <v>17600</v>
      </c>
      <c r="B157" s="20">
        <f>A157/0.0254/12</f>
        <v>57742.782152230975</v>
      </c>
      <c r="C157" s="22">
        <f t="shared" si="25"/>
        <v>216.64999999999998</v>
      </c>
      <c r="D157" s="20">
        <f t="shared" si="26"/>
        <v>7992.2735436222565</v>
      </c>
      <c r="E157" s="21">
        <f t="shared" si="30"/>
        <v>0.12851149965174619</v>
      </c>
      <c r="F157" s="22">
        <f t="shared" si="27"/>
        <v>295.38810965761633</v>
      </c>
      <c r="G157" s="23">
        <f t="shared" si="28"/>
        <v>1.417338597698673E-5</v>
      </c>
      <c r="H157" s="23">
        <f t="shared" si="29"/>
        <v>1.102888536465238E-4</v>
      </c>
    </row>
    <row r="158" spans="1:11" ht="12.45" customHeight="1">
      <c r="A158" s="26">
        <f>B158*0.0254*12</f>
        <v>17678.400000000001</v>
      </c>
      <c r="B158" s="26">
        <v>58000</v>
      </c>
      <c r="C158" s="28">
        <f t="shared" si="25"/>
        <v>216.64999999999998</v>
      </c>
      <c r="D158" s="26">
        <f t="shared" si="26"/>
        <v>7894.0570973105996</v>
      </c>
      <c r="E158" s="27">
        <f t="shared" si="30"/>
        <v>0.12693223153272037</v>
      </c>
      <c r="F158" s="28">
        <f t="shared" si="27"/>
        <v>295.38810965761633</v>
      </c>
      <c r="G158" s="29">
        <f t="shared" si="28"/>
        <v>1.417338597698673E-5</v>
      </c>
      <c r="H158" s="29">
        <f t="shared" si="29"/>
        <v>1.1166104783506574E-4</v>
      </c>
    </row>
    <row r="159" spans="1:11" ht="12.45" customHeight="1">
      <c r="A159" s="20">
        <v>17800</v>
      </c>
      <c r="B159" s="20">
        <f>A159/0.0254/12</f>
        <v>58398.9501312336</v>
      </c>
      <c r="C159" s="22">
        <f t="shared" si="25"/>
        <v>216.64999999999998</v>
      </c>
      <c r="D159" s="20">
        <f t="shared" si="26"/>
        <v>7744.1037963300769</v>
      </c>
      <c r="E159" s="21">
        <f t="shared" si="30"/>
        <v>0.12452106236019943</v>
      </c>
      <c r="F159" s="22">
        <f t="shared" si="27"/>
        <v>295.38810965761633</v>
      </c>
      <c r="G159" s="23">
        <f t="shared" si="28"/>
        <v>1.417338597698673E-5</v>
      </c>
      <c r="H159" s="23">
        <f t="shared" si="29"/>
        <v>1.1382320153989434E-4</v>
      </c>
    </row>
    <row r="160" spans="1:11" ht="12.45" customHeight="1">
      <c r="A160" s="26">
        <f>B160*0.0254*12</f>
        <v>17983.199999999997</v>
      </c>
      <c r="B160" s="26">
        <v>59000</v>
      </c>
      <c r="C160" s="28">
        <f t="shared" si="25"/>
        <v>216.64999999999998</v>
      </c>
      <c r="D160" s="26">
        <f t="shared" si="26"/>
        <v>7523.5484420300272</v>
      </c>
      <c r="E160" s="27">
        <f t="shared" si="30"/>
        <v>0.12097464979278427</v>
      </c>
      <c r="F160" s="28">
        <f t="shared" si="27"/>
        <v>295.38810965761633</v>
      </c>
      <c r="G160" s="29">
        <f t="shared" si="28"/>
        <v>1.417338597698673E-5</v>
      </c>
      <c r="H160" s="29">
        <f t="shared" si="29"/>
        <v>1.1715996699526817E-4</v>
      </c>
    </row>
    <row r="161" spans="1:8" ht="12.45" customHeight="1">
      <c r="A161" s="20">
        <v>18000</v>
      </c>
      <c r="B161" s="20">
        <f>A161/0.0254/12</f>
        <v>59055.118110236224</v>
      </c>
      <c r="C161" s="22">
        <f t="shared" si="25"/>
        <v>216.64999999999998</v>
      </c>
      <c r="D161" s="20">
        <f t="shared" si="26"/>
        <v>7503.6400194523103</v>
      </c>
      <c r="E161" s="21">
        <f t="shared" si="30"/>
        <v>0.12065453296655219</v>
      </c>
      <c r="F161" s="22">
        <f t="shared" si="27"/>
        <v>295.38810965761633</v>
      </c>
      <c r="G161" s="23">
        <f t="shared" si="28"/>
        <v>1.417338597698673E-5</v>
      </c>
      <c r="H161" s="23">
        <f t="shared" si="29"/>
        <v>1.1747081214856529E-4</v>
      </c>
    </row>
    <row r="162" spans="1:8" ht="12.45" customHeight="1">
      <c r="A162" s="20">
        <v>18200</v>
      </c>
      <c r="B162" s="20">
        <f>A162/0.0254/12</f>
        <v>59711.286089238849</v>
      </c>
      <c r="C162" s="22">
        <f t="shared" si="25"/>
        <v>216.64999999999998</v>
      </c>
      <c r="D162" s="20">
        <f t="shared" ref="D162:D163" si="31">Rair*E162*C162</f>
        <v>7270.6429332996549</v>
      </c>
      <c r="E162" s="21">
        <f t="shared" si="30"/>
        <v>0.11690806398090807</v>
      </c>
      <c r="F162" s="22">
        <f t="shared" si="27"/>
        <v>295.38810965761633</v>
      </c>
      <c r="G162" s="23">
        <f t="shared" si="28"/>
        <v>1.417338597698673E-5</v>
      </c>
      <c r="H162" s="23">
        <f t="shared" ref="H162:H163" si="32">G162/E162</f>
        <v>1.2123531512164419E-4</v>
      </c>
    </row>
    <row r="163" spans="1:8" ht="12.45" customHeight="1">
      <c r="A163" s="26">
        <f>B163*0.0254*12</f>
        <v>18288</v>
      </c>
      <c r="B163" s="26">
        <v>60000</v>
      </c>
      <c r="C163" s="28">
        <f t="shared" si="25"/>
        <v>216.64999999999998</v>
      </c>
      <c r="D163" s="26">
        <f t="shared" si="31"/>
        <v>7170.4296614292971</v>
      </c>
      <c r="E163" s="27">
        <f t="shared" si="30"/>
        <v>0.11529668797096845</v>
      </c>
      <c r="F163" s="28">
        <f t="shared" si="27"/>
        <v>295.38810965761633</v>
      </c>
      <c r="G163" s="29">
        <f t="shared" si="28"/>
        <v>1.417338597698673E-5</v>
      </c>
      <c r="H163" s="29">
        <f t="shared" si="32"/>
        <v>1.2292968884375558E-4</v>
      </c>
    </row>
  </sheetData>
  <sortState xmlns:xlrd2="http://schemas.microsoft.com/office/spreadsheetml/2017/richdata2" ref="A3:H34">
    <sortCondition ref="A3:A34"/>
  </sortState>
  <customSheetViews>
    <customSheetView guid="{3FE7FC3F-F0F3-4173-9808-B52B3E7F8E83}" hiddenRows="1">
      <pane ySplit="1" topLeftCell="A2" activePane="bottomLeft" state="frozenSplit"/>
      <selection pane="bottomLeft" activeCell="K6" sqref="K6"/>
      <pageMargins left="0.5" right="0.53" top="0.98425196850393704" bottom="0.98425196850393704" header="0.51181102362204722" footer="0.51181102362204722"/>
      <printOptions horizontalCentered="1" verticalCentered="1"/>
      <pageSetup paperSize="9" orientation="portrait" horizontalDpi="300" r:id="rId1"/>
      <headerFooter alignWithMargins="0">
        <oddHeader>&amp;L&amp;F&amp;C&amp;A&amp;R&amp;D</oddHeader>
        <oddFooter>&amp;CPage &amp;P of &amp;N</oddFooter>
      </headerFooter>
    </customSheetView>
  </customSheetViews>
  <printOptions horizontalCentered="1" verticalCentered="1"/>
  <pageMargins left="0.5" right="0.53" top="0.98425196850393704" bottom="0.98425196850393704" header="0.51181102362204722" footer="0.51181102362204722"/>
  <pageSetup paperSize="9" orientation="portrait" horizontalDpi="300" r:id="rId2"/>
  <headerFooter alignWithMargins="0">
    <oddHeader>&amp;L&amp;F&amp;C&amp;A&amp;R&amp;D</oddHeader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116</vt:i4>
      </vt:variant>
    </vt:vector>
  </HeadingPairs>
  <TitlesOfParts>
    <vt:vector size="125" baseType="lpstr">
      <vt:lpstr>Market</vt:lpstr>
      <vt:lpstr>Inputs &amp; Sizing Chart</vt:lpstr>
      <vt:lpstr>Working</vt:lpstr>
      <vt:lpstr>Scissors</vt:lpstr>
      <vt:lpstr>Cabin Planner</vt:lpstr>
      <vt:lpstr>Wing Planform</vt:lpstr>
      <vt:lpstr>Plan View</vt:lpstr>
      <vt:lpstr>Weights 2</vt:lpstr>
      <vt:lpstr>ISA</vt:lpstr>
      <vt:lpstr>A_FL</vt:lpstr>
      <vt:lpstr>Alt1_ft</vt:lpstr>
      <vt:lpstr>Alt2_ft</vt:lpstr>
      <vt:lpstr>Alt3_ft</vt:lpstr>
      <vt:lpstr>AltLand_ft</vt:lpstr>
      <vt:lpstr>AltTO_ft</vt:lpstr>
      <vt:lpstr>AR</vt:lpstr>
      <vt:lpstr>'Plan View'!AR_f</vt:lpstr>
      <vt:lpstr>'Plan View'!AR_t</vt:lpstr>
      <vt:lpstr>B_FL</vt:lpstr>
      <vt:lpstr>C_FL</vt:lpstr>
      <vt:lpstr>C_MTOW</vt:lpstr>
      <vt:lpstr>C_OWE</vt:lpstr>
      <vt:lpstr>cc_s</vt:lpstr>
      <vt:lpstr>Scissors!CD_Land</vt:lpstr>
      <vt:lpstr>CD0</vt:lpstr>
      <vt:lpstr>CD0_TO</vt:lpstr>
      <vt:lpstr>CLmax_Land</vt:lpstr>
      <vt:lpstr>CLmax_TO</vt:lpstr>
      <vt:lpstr>cr_s</vt:lpstr>
      <vt:lpstr>'Plan View'!crf_s</vt:lpstr>
      <vt:lpstr>'Plan View'!crt_s</vt:lpstr>
      <vt:lpstr>Scissors!CT_L</vt:lpstr>
      <vt:lpstr>D_L_Climb</vt:lpstr>
      <vt:lpstr>dCD0_Land</vt:lpstr>
      <vt:lpstr>dcr_s</vt:lpstr>
      <vt:lpstr>Dfuse</vt:lpstr>
      <vt:lpstr>Dfuse2</vt:lpstr>
      <vt:lpstr>ESAR</vt:lpstr>
      <vt:lpstr>eta_c</vt:lpstr>
      <vt:lpstr>eta_c_2</vt:lpstr>
      <vt:lpstr>eta_mac</vt:lpstr>
      <vt:lpstr>'Plan View'!eta_mac_f</vt:lpstr>
      <vt:lpstr>'Plan View'!eta_mac_t</vt:lpstr>
      <vt:lpstr>g</vt:lpstr>
      <vt:lpstr>Scissors!hG</vt:lpstr>
      <vt:lpstr>Hold_TAS_kt</vt:lpstr>
      <vt:lpstr>K</vt:lpstr>
      <vt:lpstr>k_cr</vt:lpstr>
      <vt:lpstr>lambda_c</vt:lpstr>
      <vt:lpstr>lamLE</vt:lpstr>
      <vt:lpstr>'Plan View'!lamLE_f</vt:lpstr>
      <vt:lpstr>'Plan View'!lamLE_t</vt:lpstr>
      <vt:lpstr>lamTE</vt:lpstr>
      <vt:lpstr>'Plan View'!lamTE_f</vt:lpstr>
      <vt:lpstr>'Plan View'!lamTE_t</vt:lpstr>
      <vt:lpstr>ISA!Lapse_rate</vt:lpstr>
      <vt:lpstr>Lfuse</vt:lpstr>
      <vt:lpstr>Lfuse2</vt:lpstr>
      <vt:lpstr>'Cabin Planner'!LTailCone</vt:lpstr>
      <vt:lpstr>M_shock</vt:lpstr>
      <vt:lpstr>'Plan View'!M_shock_f</vt:lpstr>
      <vt:lpstr>'Plan View'!M_shock_t</vt:lpstr>
      <vt:lpstr>ISA!m0</vt:lpstr>
      <vt:lpstr>MAC</vt:lpstr>
      <vt:lpstr>MAC_s</vt:lpstr>
      <vt:lpstr>'Plan View'!MACf_s</vt:lpstr>
      <vt:lpstr>Mach</vt:lpstr>
      <vt:lpstr>'Plan View'!MACt_s</vt:lpstr>
      <vt:lpstr>MLW_MTOW</vt:lpstr>
      <vt:lpstr>Mmo</vt:lpstr>
      <vt:lpstr>MTOM</vt:lpstr>
      <vt:lpstr>N_eng</vt:lpstr>
      <vt:lpstr>n_turn</vt:lpstr>
      <vt:lpstr>Pax</vt:lpstr>
      <vt:lpstr>Payload</vt:lpstr>
      <vt:lpstr>q_1</vt:lpstr>
      <vt:lpstr>q_2</vt:lpstr>
      <vt:lpstr>q_3</vt:lpstr>
      <vt:lpstr>ISA!r0</vt:lpstr>
      <vt:lpstr>ISA!Rair</vt:lpstr>
      <vt:lpstr>Range_nm</vt:lpstr>
      <vt:lpstr>RRC</vt:lpstr>
      <vt:lpstr>S_LFL</vt:lpstr>
      <vt:lpstr>S_TOFL</vt:lpstr>
      <vt:lpstr>'Plan View'!SF_S</vt:lpstr>
      <vt:lpstr>sfc</vt:lpstr>
      <vt:lpstr>sig_Land</vt:lpstr>
      <vt:lpstr>sig_TO</vt:lpstr>
      <vt:lpstr>Span</vt:lpstr>
      <vt:lpstr>Sref</vt:lpstr>
      <vt:lpstr>'Plan View'!ST_S</vt:lpstr>
      <vt:lpstr>T_W</vt:lpstr>
      <vt:lpstr>ISA!T0</vt:lpstr>
      <vt:lpstr>tanL½</vt:lpstr>
      <vt:lpstr>'Plan View'!tanL½_f</vt:lpstr>
      <vt:lpstr>'Plan View'!tanL½_t</vt:lpstr>
      <vt:lpstr>taper</vt:lpstr>
      <vt:lpstr>'Plan View'!taper_f</vt:lpstr>
      <vt:lpstr>'Plan View'!taper_t</vt:lpstr>
      <vt:lpstr>Tclimb_Tsls</vt:lpstr>
      <vt:lpstr>Tcr1_Tsls</vt:lpstr>
      <vt:lpstr>Tcr2_Tsls</vt:lpstr>
      <vt:lpstr>Theta_climb</vt:lpstr>
      <vt:lpstr>Thold_Tsls</vt:lpstr>
      <vt:lpstr>Thro_1</vt:lpstr>
      <vt:lpstr>Thro_2</vt:lpstr>
      <vt:lpstr>Thro_3</vt:lpstr>
      <vt:lpstr>Thro_climb</vt:lpstr>
      <vt:lpstr>Thro_TO</vt:lpstr>
      <vt:lpstr>TOW_MTOW</vt:lpstr>
      <vt:lpstr>TRhold</vt:lpstr>
      <vt:lpstr>ISA!Tropopause</vt:lpstr>
      <vt:lpstr>TSLS</vt:lpstr>
      <vt:lpstr>Tto_Tsls</vt:lpstr>
      <vt:lpstr>V2_Vstall</vt:lpstr>
      <vt:lpstr>Scissors!W_qS_TO</vt:lpstr>
      <vt:lpstr>W_S</vt:lpstr>
      <vt:lpstr>Wcr1_MTOW</vt:lpstr>
      <vt:lpstr>Wcr2_MTOW</vt:lpstr>
      <vt:lpstr>Whold_MTOW</vt:lpstr>
      <vt:lpstr>Xac_s</vt:lpstr>
      <vt:lpstr>Xnwb</vt:lpstr>
      <vt:lpstr>Xtail</vt:lpstr>
      <vt:lpstr>Xwing_adjust</vt:lpstr>
      <vt:lpstr>Scissors!ZT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Atkin</dc:creator>
  <cp:lastModifiedBy>Nikolay Tankishev</cp:lastModifiedBy>
  <cp:lastPrinted>2019-10-21T20:12:01Z</cp:lastPrinted>
  <dcterms:created xsi:type="dcterms:W3CDTF">2014-03-10T19:21:04Z</dcterms:created>
  <dcterms:modified xsi:type="dcterms:W3CDTF">2020-04-27T21:59:29Z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2c488924-1237-4ff6-9bd2-c28dc9c3a00d</vt:lpwstr>
  </property>
</Properties>
</file>